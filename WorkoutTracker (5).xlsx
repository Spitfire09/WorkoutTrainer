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24226"/>
  <mc:AlternateContent xmlns:mc="http://schemas.openxmlformats.org/markup-compatibility/2006">
    <mc:Choice Requires="x15">
      <x15ac:absPath xmlns:x15ac="http://schemas.microsoft.com/office/spreadsheetml/2010/11/ac" url="https://evidi-my.sharepoint.com/personal/tommy_sogaard_jensen_evidi_com/Documents/Privat/PowerApps/"/>
    </mc:Choice>
  </mc:AlternateContent>
  <xr:revisionPtr revIDLastSave="0" documentId="8_{468E7961-26FD-4ECF-A4C9-561B6B7D414F}" xr6:coauthVersionLast="47" xr6:coauthVersionMax="47" xr10:uidLastSave="{00000000-0000-0000-0000-000000000000}"/>
  <bookViews>
    <workbookView xWindow="-120" yWindow="-120" windowWidth="38640" windowHeight="21120" xr2:uid="{00000000-000D-0000-FFFF-FFFF00000000}"/>
  </bookViews>
  <sheets>
    <sheet name="Exercises" sheetId="1" r:id="rId1"/>
    <sheet name="Log" sheetId="3" r:id="rId2"/>
    <sheet name="Types" sheetId="2" r:id="rId3"/>
    <sheet name="Sheet1" sheetId="6" r:id="rId4"/>
    <sheet name="Sheet2" sheetId="7" r:id="rId5"/>
    <sheet name="Analyse" sheetId="8" r:id="rId6"/>
    <sheet name="Input" sheetId="9" r:id="rId7"/>
  </sheets>
  <calcPr calcId="191028"/>
  <pivotCaches>
    <pivotCache cacheId="79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22" i="3" l="1"/>
  <c r="N422" i="3"/>
  <c r="O422" i="3"/>
  <c r="M421" i="3"/>
  <c r="N421" i="3"/>
  <c r="O421" i="3"/>
  <c r="M420" i="3"/>
  <c r="N420" i="3"/>
  <c r="O420" i="3"/>
  <c r="M419" i="3"/>
  <c r="N419" i="3"/>
  <c r="O419" i="3"/>
  <c r="M418" i="3"/>
  <c r="N418" i="3"/>
  <c r="O418" i="3"/>
  <c r="M417" i="3"/>
  <c r="N417" i="3"/>
  <c r="O417" i="3"/>
  <c r="M416" i="3"/>
  <c r="N416" i="3"/>
  <c r="O416" i="3"/>
  <c r="M415" i="3"/>
  <c r="N415" i="3"/>
  <c r="O415" i="3"/>
  <c r="M414" i="3"/>
  <c r="N414" i="3"/>
  <c r="O414" i="3"/>
  <c r="M413" i="3"/>
  <c r="N413" i="3"/>
  <c r="O413" i="3"/>
  <c r="M412" i="3"/>
  <c r="N412" i="3"/>
  <c r="O412" i="3"/>
  <c r="M411" i="3"/>
  <c r="N411" i="3"/>
  <c r="O411" i="3"/>
  <c r="M410" i="3"/>
  <c r="N410" i="3"/>
  <c r="O410" i="3"/>
  <c r="M409" i="3"/>
  <c r="N409" i="3"/>
  <c r="O409" i="3"/>
  <c r="M408" i="3"/>
  <c r="N408" i="3"/>
  <c r="O408" i="3"/>
  <c r="M407" i="3"/>
  <c r="N407" i="3"/>
  <c r="O407" i="3"/>
  <c r="M406" i="3"/>
  <c r="N406" i="3"/>
  <c r="O406"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J407" i="8" a="1"/>
  <c r="J407" i="8" s="1"/>
  <c r="J406" i="8" a="1"/>
  <c r="J406" i="8" s="1"/>
  <c r="J405" i="8" a="1"/>
  <c r="J405" i="8" s="1"/>
  <c r="J404" i="8" a="1"/>
  <c r="J404" i="8" s="1"/>
  <c r="J403" i="8" a="1"/>
  <c r="J403" i="8" s="1"/>
  <c r="J402" i="8" a="1"/>
  <c r="J402" i="8" s="1"/>
  <c r="J401" i="8" a="1"/>
  <c r="J401" i="8" s="1"/>
  <c r="J400" i="8" a="1"/>
  <c r="J400" i="8" s="1"/>
  <c r="J399" i="8" a="1"/>
  <c r="J399" i="8" s="1"/>
  <c r="J398" i="8" a="1"/>
  <c r="J398" i="8" s="1"/>
  <c r="J397" i="8" a="1"/>
  <c r="J397" i="8" s="1"/>
  <c r="J396" i="8" a="1"/>
  <c r="J396" i="8" s="1"/>
  <c r="J395" i="8" a="1"/>
  <c r="J395" i="8" s="1"/>
  <c r="J394" i="8" a="1"/>
  <c r="J394" i="8" s="1"/>
  <c r="J393" i="8" a="1"/>
  <c r="J393" i="8" s="1"/>
  <c r="J392" i="8" a="1"/>
  <c r="J392" i="8" s="1"/>
  <c r="J391" i="8" a="1"/>
  <c r="J391" i="8" s="1"/>
  <c r="J390" i="8" a="1"/>
  <c r="J390" i="8" s="1"/>
  <c r="J389" i="8" a="1"/>
  <c r="J389" i="8" s="1"/>
  <c r="J388" i="8" a="1"/>
  <c r="J388" i="8" s="1"/>
  <c r="J387" i="8" a="1"/>
  <c r="J387" i="8" s="1"/>
  <c r="J386" i="8" a="1"/>
  <c r="J386" i="8" s="1"/>
  <c r="J385" i="8" a="1"/>
  <c r="J385" i="8" s="1"/>
  <c r="J384" i="8" a="1"/>
  <c r="J384" i="8" s="1"/>
  <c r="J383" i="8" a="1"/>
  <c r="J383" i="8" s="1"/>
  <c r="J382" i="8" a="1"/>
  <c r="J382" i="8" s="1"/>
  <c r="J381" i="8" a="1"/>
  <c r="J381" i="8" s="1"/>
  <c r="J380" i="8" a="1"/>
  <c r="J380" i="8" s="1"/>
  <c r="J379" i="8" a="1"/>
  <c r="J379" i="8" s="1"/>
  <c r="J378" i="8" a="1"/>
  <c r="J378" i="8" s="1"/>
  <c r="J377" i="8" a="1"/>
  <c r="J377" i="8" s="1"/>
  <c r="J376" i="8" a="1"/>
  <c r="J376" i="8" s="1"/>
  <c r="J375" i="8" a="1"/>
  <c r="J375" i="8" s="1"/>
  <c r="J374" i="8" a="1"/>
  <c r="J374" i="8" s="1"/>
  <c r="J373" i="8" a="1"/>
  <c r="J373" i="8" s="1"/>
  <c r="J372" i="8" a="1"/>
  <c r="J372" i="8" s="1"/>
  <c r="J371" i="8" a="1"/>
  <c r="J371" i="8" s="1"/>
  <c r="J370" i="8" a="1"/>
  <c r="J370" i="8" s="1"/>
  <c r="J369" i="8" a="1"/>
  <c r="J369" i="8" s="1"/>
  <c r="J368" i="8" a="1"/>
  <c r="J368" i="8" s="1"/>
  <c r="J367" i="8" a="1"/>
  <c r="J367" i="8" s="1"/>
  <c r="J366" i="8" a="1"/>
  <c r="J366" i="8" s="1"/>
  <c r="J365" i="8" a="1"/>
  <c r="J365" i="8" s="1"/>
  <c r="J364" i="8" a="1"/>
  <c r="J364" i="8" s="1"/>
  <c r="J363" i="8" a="1"/>
  <c r="J363" i="8" s="1"/>
  <c r="J362" i="8" a="1"/>
  <c r="J362" i="8" s="1"/>
  <c r="J361" i="8" a="1"/>
  <c r="J361" i="8" s="1"/>
  <c r="J360" i="8" a="1"/>
  <c r="J360" i="8" s="1"/>
  <c r="J359" i="8" a="1"/>
  <c r="J359" i="8" s="1"/>
  <c r="J358" i="8" a="1"/>
  <c r="J358" i="8" s="1"/>
  <c r="J357" i="8" a="1"/>
  <c r="J357" i="8" s="1"/>
  <c r="J356" i="8" a="1"/>
  <c r="J356" i="8" s="1"/>
  <c r="J355" i="8" a="1"/>
  <c r="J355" i="8" s="1"/>
  <c r="J354" i="8" a="1"/>
  <c r="J354" i="8" s="1"/>
  <c r="J353" i="8" a="1"/>
  <c r="J353" i="8" s="1"/>
  <c r="J352" i="8" a="1"/>
  <c r="J352" i="8" s="1"/>
  <c r="J351" i="8" a="1"/>
  <c r="J351" i="8" s="1"/>
  <c r="J350" i="8" a="1"/>
  <c r="J350" i="8" s="1"/>
  <c r="J349" i="8" a="1"/>
  <c r="J349" i="8" s="1"/>
  <c r="J348" i="8" a="1"/>
  <c r="J348" i="8" s="1"/>
  <c r="J347" i="8" a="1"/>
  <c r="J347" i="8" s="1"/>
  <c r="J346" i="8" a="1"/>
  <c r="J346" i="8" s="1"/>
  <c r="J345" i="8" a="1"/>
  <c r="J345" i="8" s="1"/>
  <c r="J344" i="8" a="1"/>
  <c r="J344" i="8" s="1"/>
  <c r="J343" i="8" a="1"/>
  <c r="J343" i="8" s="1"/>
  <c r="J342" i="8" a="1"/>
  <c r="J342" i="8" s="1"/>
  <c r="J341" i="8" a="1"/>
  <c r="J341" i="8" s="1"/>
  <c r="J340" i="8" a="1"/>
  <c r="J340" i="8" s="1"/>
  <c r="J339" i="8" a="1"/>
  <c r="J339" i="8" s="1"/>
  <c r="J338" i="8" a="1"/>
  <c r="J338" i="8" s="1"/>
  <c r="J337" i="8" a="1"/>
  <c r="J337" i="8" s="1"/>
  <c r="J336" i="8" a="1"/>
  <c r="J336" i="8" s="1"/>
  <c r="J335" i="8" a="1"/>
  <c r="J335" i="8" s="1"/>
  <c r="J334" i="8" a="1"/>
  <c r="J334" i="8" s="1"/>
  <c r="J333" i="8" a="1"/>
  <c r="J333" i="8" s="1"/>
  <c r="J332" i="8" a="1"/>
  <c r="J332" i="8" s="1"/>
  <c r="J331" i="8" a="1"/>
  <c r="J331" i="8" s="1"/>
  <c r="J330" i="8" a="1"/>
  <c r="J330" i="8" s="1"/>
  <c r="J329" i="8" a="1"/>
  <c r="J329" i="8" s="1"/>
  <c r="J328" i="8" a="1"/>
  <c r="J328" i="8" s="1"/>
  <c r="J327" i="8" a="1"/>
  <c r="J327" i="8" s="1"/>
  <c r="J326" i="8" a="1"/>
  <c r="J326" i="8" s="1"/>
  <c r="J325" i="8" a="1"/>
  <c r="J325" i="8" s="1"/>
  <c r="J324" i="8" a="1"/>
  <c r="J324" i="8" s="1"/>
  <c r="J323" i="8" a="1"/>
  <c r="J323" i="8" s="1"/>
  <c r="J322" i="8" a="1"/>
  <c r="J322" i="8" s="1"/>
  <c r="J321" i="8" a="1"/>
  <c r="J321" i="8" s="1"/>
  <c r="J320" i="8" a="1"/>
  <c r="J320" i="8" s="1"/>
  <c r="J319" i="8" a="1"/>
  <c r="J319" i="8" s="1"/>
  <c r="J318" i="8" a="1"/>
  <c r="J318" i="8" s="1"/>
  <c r="J317" i="8" a="1"/>
  <c r="J317" i="8" s="1"/>
  <c r="J316" i="8" a="1"/>
  <c r="J316" i="8" s="1"/>
  <c r="J315" i="8" a="1"/>
  <c r="J315" i="8" s="1"/>
  <c r="J314" i="8" a="1"/>
  <c r="J314" i="8" s="1"/>
  <c r="J313" i="8" a="1"/>
  <c r="J313" i="8" s="1"/>
  <c r="J312" i="8" a="1"/>
  <c r="J312" i="8" s="1"/>
  <c r="J311" i="8" a="1"/>
  <c r="J311" i="8" s="1"/>
  <c r="J310" i="8" a="1"/>
  <c r="J310" i="8" s="1"/>
  <c r="J309" i="8" a="1"/>
  <c r="J309" i="8" s="1"/>
  <c r="J308" i="8" a="1"/>
  <c r="J308" i="8" s="1"/>
  <c r="J307" i="8" a="1"/>
  <c r="J307" i="8" s="1"/>
  <c r="J306" i="8" a="1"/>
  <c r="J306" i="8" s="1"/>
  <c r="J305" i="8" a="1"/>
  <c r="J305" i="8" s="1"/>
  <c r="J304" i="8" a="1"/>
  <c r="J304" i="8" s="1"/>
  <c r="J303" i="8" a="1"/>
  <c r="J303" i="8" s="1"/>
  <c r="J302" i="8" a="1"/>
  <c r="J302" i="8" s="1"/>
  <c r="J301" i="8" a="1"/>
  <c r="J301" i="8" s="1"/>
  <c r="J300" i="8" a="1"/>
  <c r="J300" i="8" s="1"/>
  <c r="J299" i="8" a="1"/>
  <c r="J299" i="8" s="1"/>
  <c r="J298" i="8" a="1"/>
  <c r="J298" i="8" s="1"/>
  <c r="J297" i="8" a="1"/>
  <c r="J297" i="8" s="1"/>
  <c r="J296" i="8" a="1"/>
  <c r="J296" i="8" s="1"/>
  <c r="J295" i="8" a="1"/>
  <c r="J295" i="8" s="1"/>
  <c r="J294" i="8" a="1"/>
  <c r="J294" i="8" s="1"/>
  <c r="J293" i="8" a="1"/>
  <c r="J293" i="8" s="1"/>
  <c r="J292" i="8" a="1"/>
  <c r="J292" i="8" s="1"/>
  <c r="J291" i="8" a="1"/>
  <c r="J291" i="8" s="1"/>
  <c r="J290" i="8" a="1"/>
  <c r="J290" i="8" s="1"/>
  <c r="J289" i="8" a="1"/>
  <c r="J289" i="8" s="1"/>
  <c r="J288" i="8" a="1"/>
  <c r="J288" i="8" s="1"/>
  <c r="J287" i="8" a="1"/>
  <c r="J287" i="8" s="1"/>
  <c r="J286" i="8" a="1"/>
  <c r="J286" i="8" s="1"/>
  <c r="J285" i="8" a="1"/>
  <c r="J285" i="8" s="1"/>
  <c r="J284" i="8" a="1"/>
  <c r="J284" i="8" s="1"/>
  <c r="J283" i="8" a="1"/>
  <c r="J283" i="8" s="1"/>
  <c r="J282" i="8" a="1"/>
  <c r="J282" i="8" s="1"/>
  <c r="J281" i="8" a="1"/>
  <c r="J281" i="8" s="1"/>
  <c r="J280" i="8" a="1"/>
  <c r="J280" i="8" s="1"/>
  <c r="J279" i="8" a="1"/>
  <c r="J279" i="8" s="1"/>
  <c r="J278" i="8" a="1"/>
  <c r="J278" i="8" s="1"/>
  <c r="J277" i="8" a="1"/>
  <c r="J277" i="8" s="1"/>
  <c r="J276" i="8" a="1"/>
  <c r="J276" i="8" s="1"/>
  <c r="J275" i="8" a="1"/>
  <c r="J275" i="8" s="1"/>
  <c r="J274" i="8" a="1"/>
  <c r="J274" i="8" s="1"/>
  <c r="J273" i="8" a="1"/>
  <c r="J273" i="8" s="1"/>
  <c r="J272" i="8" a="1"/>
  <c r="J272" i="8" s="1"/>
  <c r="J271" i="8" a="1"/>
  <c r="J271" i="8" s="1"/>
  <c r="J270" i="8" a="1"/>
  <c r="J270" i="8" s="1"/>
  <c r="J269" i="8" a="1"/>
  <c r="J269" i="8" s="1"/>
  <c r="J268" i="8" a="1"/>
  <c r="J268" i="8" s="1"/>
  <c r="J267" i="8" a="1"/>
  <c r="J267" i="8" s="1"/>
  <c r="J266" i="8" a="1"/>
  <c r="J266" i="8" s="1"/>
  <c r="J265" i="8" a="1"/>
  <c r="J265" i="8" s="1"/>
  <c r="J264" i="8" a="1"/>
  <c r="J264" i="8" s="1"/>
  <c r="J263" i="8" a="1"/>
  <c r="J263" i="8" s="1"/>
  <c r="J262" i="8" a="1"/>
  <c r="J262" i="8" s="1"/>
  <c r="J261" i="8" a="1"/>
  <c r="J261" i="8" s="1"/>
  <c r="J260" i="8" a="1"/>
  <c r="J260" i="8" s="1"/>
  <c r="J259" i="8" a="1"/>
  <c r="J259" i="8" s="1"/>
  <c r="J258" i="8" a="1"/>
  <c r="J258" i="8" s="1"/>
  <c r="J257" i="8" a="1"/>
  <c r="J257" i="8" s="1"/>
  <c r="J256" i="8" a="1"/>
  <c r="J256" i="8" s="1"/>
  <c r="J255" i="8" a="1"/>
  <c r="J255" i="8" s="1"/>
  <c r="J254" i="8" a="1"/>
  <c r="J254" i="8" s="1"/>
  <c r="J253" i="8" a="1"/>
  <c r="J253" i="8" s="1"/>
  <c r="J252" i="8" a="1"/>
  <c r="J252" i="8" s="1"/>
  <c r="J251" i="8" a="1"/>
  <c r="J251" i="8" s="1"/>
  <c r="J250" i="8" a="1"/>
  <c r="J250" i="8" s="1"/>
  <c r="J249" i="8" a="1"/>
  <c r="J249" i="8" s="1"/>
  <c r="J248" i="8" a="1"/>
  <c r="J248" i="8" s="1"/>
  <c r="J247" i="8" a="1"/>
  <c r="J247" i="8" s="1"/>
  <c r="J246" i="8" a="1"/>
  <c r="J246" i="8" s="1"/>
  <c r="J245" i="8" a="1"/>
  <c r="J245" i="8" s="1"/>
  <c r="J244" i="8" a="1"/>
  <c r="J244" i="8" s="1"/>
  <c r="J243" i="8" a="1"/>
  <c r="J243" i="8" s="1"/>
  <c r="J242" i="8" a="1"/>
  <c r="J242" i="8" s="1"/>
  <c r="J241" i="8" a="1"/>
  <c r="J241" i="8" s="1"/>
  <c r="J240" i="8" a="1"/>
  <c r="J240" i="8" s="1"/>
  <c r="J239" i="8" a="1"/>
  <c r="J239" i="8" s="1"/>
  <c r="J238" i="8" a="1"/>
  <c r="J238" i="8" s="1"/>
  <c r="J237" i="8" a="1"/>
  <c r="J237" i="8" s="1"/>
  <c r="J236" i="8" a="1"/>
  <c r="J236" i="8" s="1"/>
  <c r="J235" i="8" a="1"/>
  <c r="J235" i="8" s="1"/>
  <c r="J234" i="8" a="1"/>
  <c r="J234" i="8" s="1"/>
  <c r="J233" i="8" a="1"/>
  <c r="J233" i="8" s="1"/>
  <c r="J232" i="8" a="1"/>
  <c r="J232" i="8" s="1"/>
  <c r="J231" i="8" a="1"/>
  <c r="J231" i="8" s="1"/>
  <c r="J230" i="8" a="1"/>
  <c r="J230" i="8" s="1"/>
  <c r="J229" i="8" a="1"/>
  <c r="J229" i="8" s="1"/>
  <c r="J228" i="8" a="1"/>
  <c r="J228" i="8" s="1"/>
  <c r="J227" i="8" a="1"/>
  <c r="J227" i="8" s="1"/>
  <c r="J226" i="8" a="1"/>
  <c r="J226" i="8" s="1"/>
  <c r="J225" i="8" a="1"/>
  <c r="J225" i="8" s="1"/>
  <c r="J224" i="8" a="1"/>
  <c r="J224" i="8" s="1"/>
  <c r="J223" i="8" a="1"/>
  <c r="J223" i="8" s="1"/>
  <c r="J222" i="8" a="1"/>
  <c r="J222" i="8" s="1"/>
  <c r="J221" i="8" a="1"/>
  <c r="J221" i="8" s="1"/>
  <c r="J220" i="8" a="1"/>
  <c r="J220" i="8" s="1"/>
  <c r="J219" i="8" a="1"/>
  <c r="J219" i="8" s="1"/>
  <c r="J218" i="8" a="1"/>
  <c r="J218" i="8" s="1"/>
  <c r="J217" i="8" a="1"/>
  <c r="J217" i="8" s="1"/>
  <c r="J216" i="8" a="1"/>
  <c r="J216" i="8" s="1"/>
  <c r="J215" i="8" a="1"/>
  <c r="J215" i="8" s="1"/>
  <c r="J214" i="8" a="1"/>
  <c r="J214" i="8" s="1"/>
  <c r="J213" i="8" a="1"/>
  <c r="J213" i="8" s="1"/>
  <c r="J212" i="8" a="1"/>
  <c r="J212" i="8" s="1"/>
  <c r="J211" i="8" a="1"/>
  <c r="J211" i="8" s="1"/>
  <c r="J210" i="8" a="1"/>
  <c r="J210" i="8" s="1"/>
  <c r="J209" i="8" a="1"/>
  <c r="J209" i="8" s="1"/>
  <c r="J208" i="8" a="1"/>
  <c r="J208" i="8" s="1"/>
  <c r="J207" i="8" a="1"/>
  <c r="J207" i="8" s="1"/>
  <c r="J206" i="8" a="1"/>
  <c r="J206" i="8" s="1"/>
  <c r="J205" i="8" a="1"/>
  <c r="J205" i="8" s="1"/>
  <c r="J204" i="8" a="1"/>
  <c r="J204" i="8" s="1"/>
  <c r="J203" i="8" a="1"/>
  <c r="J203" i="8" s="1"/>
  <c r="J202" i="8" a="1"/>
  <c r="J202" i="8" s="1"/>
  <c r="J201" i="8" a="1"/>
  <c r="J201" i="8" s="1"/>
  <c r="J200" i="8" a="1"/>
  <c r="J200" i="8" s="1"/>
  <c r="J199" i="8" a="1"/>
  <c r="J199" i="8" s="1"/>
  <c r="J198" i="8" a="1"/>
  <c r="J198" i="8" s="1"/>
  <c r="J197" i="8" a="1"/>
  <c r="J197" i="8" s="1"/>
  <c r="J196" i="8" a="1"/>
  <c r="J196" i="8" s="1"/>
  <c r="J195" i="8" a="1"/>
  <c r="J195" i="8" s="1"/>
  <c r="J194" i="8" a="1"/>
  <c r="J194" i="8" s="1"/>
  <c r="J193" i="8" a="1"/>
  <c r="J193" i="8" s="1"/>
  <c r="J192" i="8" a="1"/>
  <c r="J192" i="8" s="1"/>
  <c r="J191" i="8" a="1"/>
  <c r="J191" i="8" s="1"/>
  <c r="J190" i="8" a="1"/>
  <c r="J190" i="8" s="1"/>
  <c r="J189" i="8" a="1"/>
  <c r="J189" i="8" s="1"/>
  <c r="J188" i="8" a="1"/>
  <c r="J188" i="8" s="1"/>
  <c r="J187" i="8" a="1"/>
  <c r="J187" i="8" s="1"/>
  <c r="J186" i="8" a="1"/>
  <c r="J186" i="8" s="1"/>
  <c r="J185" i="8" a="1"/>
  <c r="J185" i="8" s="1"/>
  <c r="J184" i="8" a="1"/>
  <c r="J184" i="8" s="1"/>
  <c r="J183" i="8" a="1"/>
  <c r="J183" i="8" s="1"/>
  <c r="J182" i="8" a="1"/>
  <c r="J182" i="8" s="1"/>
  <c r="J181" i="8" a="1"/>
  <c r="J181" i="8" s="1"/>
  <c r="J180" i="8" a="1"/>
  <c r="J180" i="8" s="1"/>
  <c r="J179" i="8" a="1"/>
  <c r="J179" i="8" s="1"/>
  <c r="J178" i="8" a="1"/>
  <c r="J178" i="8" s="1"/>
  <c r="J177" i="8" a="1"/>
  <c r="J177" i="8" s="1"/>
  <c r="J176" i="8" a="1"/>
  <c r="J176" i="8" s="1"/>
  <c r="J175" i="8" a="1"/>
  <c r="J175" i="8" s="1"/>
  <c r="J174" i="8" a="1"/>
  <c r="J174" i="8" s="1"/>
  <c r="J173" i="8" a="1"/>
  <c r="J173" i="8" s="1"/>
  <c r="J172" i="8" a="1"/>
  <c r="J172" i="8" s="1"/>
  <c r="J171" i="8" a="1"/>
  <c r="J171" i="8" s="1"/>
  <c r="J170" i="8" a="1"/>
  <c r="J170" i="8" s="1"/>
  <c r="J169" i="8" a="1"/>
  <c r="J169" i="8" s="1"/>
  <c r="J168" i="8" a="1"/>
  <c r="J168" i="8" s="1"/>
  <c r="J167" i="8" a="1"/>
  <c r="J167" i="8" s="1"/>
  <c r="J166" i="8" a="1"/>
  <c r="J166" i="8" s="1"/>
  <c r="J165" i="8" a="1"/>
  <c r="J165" i="8" s="1"/>
  <c r="J164" i="8" a="1"/>
  <c r="J164" i="8" s="1"/>
  <c r="J163" i="8" a="1"/>
  <c r="J163" i="8" s="1"/>
  <c r="J162" i="8" a="1"/>
  <c r="J162" i="8" s="1"/>
  <c r="J161" i="8" a="1"/>
  <c r="J161" i="8" s="1"/>
  <c r="J160" i="8" a="1"/>
  <c r="J160" i="8" s="1"/>
  <c r="J159" i="8" a="1"/>
  <c r="J159" i="8" s="1"/>
  <c r="J158" i="8" a="1"/>
  <c r="J158" i="8" s="1"/>
  <c r="J157" i="8" a="1"/>
  <c r="J157" i="8" s="1"/>
  <c r="J156" i="8" a="1"/>
  <c r="J156" i="8" s="1"/>
  <c r="J155" i="8" a="1"/>
  <c r="J155" i="8" s="1"/>
  <c r="J154" i="8" a="1"/>
  <c r="J154" i="8" s="1"/>
  <c r="J153" i="8" a="1"/>
  <c r="J153" i="8" s="1"/>
  <c r="J152" i="8" a="1"/>
  <c r="J152" i="8" s="1"/>
  <c r="J151" i="8" a="1"/>
  <c r="J151" i="8" s="1"/>
  <c r="J150" i="8" a="1"/>
  <c r="J150" i="8" s="1"/>
  <c r="J149" i="8" a="1"/>
  <c r="J149" i="8" s="1"/>
  <c r="J148" i="8" a="1"/>
  <c r="J148" i="8" s="1"/>
  <c r="J147" i="8" a="1"/>
  <c r="J147" i="8" s="1"/>
  <c r="J146" i="8" a="1"/>
  <c r="J146" i="8" s="1"/>
  <c r="J145" i="8" a="1"/>
  <c r="J145" i="8" s="1"/>
  <c r="J144" i="8" a="1"/>
  <c r="J144" i="8" s="1"/>
  <c r="J143" i="8" a="1"/>
  <c r="J143" i="8" s="1"/>
  <c r="J142" i="8" a="1"/>
  <c r="J142" i="8" s="1"/>
  <c r="J141" i="8" a="1"/>
  <c r="J141" i="8" s="1"/>
  <c r="J140" i="8" a="1"/>
  <c r="J140" i="8" s="1"/>
  <c r="J139" i="8" a="1"/>
  <c r="J139" i="8" s="1"/>
  <c r="J138" i="8" a="1"/>
  <c r="J138" i="8" s="1"/>
  <c r="J137" i="8" a="1"/>
  <c r="J137" i="8" s="1"/>
  <c r="J136" i="8" a="1"/>
  <c r="J136" i="8" s="1"/>
  <c r="J135" i="8" a="1"/>
  <c r="J135" i="8" s="1"/>
  <c r="J134" i="8" a="1"/>
  <c r="J134" i="8" s="1"/>
  <c r="J133" i="8" a="1"/>
  <c r="J133" i="8" s="1"/>
  <c r="J132" i="8" a="1"/>
  <c r="J132" i="8" s="1"/>
  <c r="J131" i="8" a="1"/>
  <c r="J131" i="8" s="1"/>
  <c r="J130" i="8" a="1"/>
  <c r="J130" i="8" s="1"/>
  <c r="J129" i="8" a="1"/>
  <c r="J129" i="8" s="1"/>
  <c r="J128" i="8" a="1"/>
  <c r="J128" i="8" s="1"/>
  <c r="J127" i="8" a="1"/>
  <c r="J127" i="8" s="1"/>
  <c r="J126" i="8" a="1"/>
  <c r="J126" i="8" s="1"/>
  <c r="J125" i="8" a="1"/>
  <c r="J125" i="8" s="1"/>
  <c r="J124" i="8" a="1"/>
  <c r="J124" i="8" s="1"/>
  <c r="J123" i="8" a="1"/>
  <c r="J123" i="8" s="1"/>
  <c r="J122" i="8" a="1"/>
  <c r="J122" i="8" s="1"/>
  <c r="J121" i="8" a="1"/>
  <c r="J121" i="8" s="1"/>
  <c r="J120" i="8" a="1"/>
  <c r="J120" i="8" s="1"/>
  <c r="J119" i="8" a="1"/>
  <c r="J119" i="8" s="1"/>
  <c r="J118" i="8" a="1"/>
  <c r="J118" i="8" s="1"/>
  <c r="J117" i="8" a="1"/>
  <c r="J117" i="8" s="1"/>
  <c r="J116" i="8" a="1"/>
  <c r="J116" i="8" s="1"/>
  <c r="J115" i="8" a="1"/>
  <c r="J115" i="8" s="1"/>
  <c r="J114" i="8" a="1"/>
  <c r="J114" i="8" s="1"/>
  <c r="J113" i="8" a="1"/>
  <c r="J113" i="8" s="1"/>
  <c r="J112" i="8" a="1"/>
  <c r="J112" i="8" s="1"/>
  <c r="J111" i="8" a="1"/>
  <c r="J111" i="8" s="1"/>
  <c r="J110" i="8" a="1"/>
  <c r="J110" i="8" s="1"/>
  <c r="J109" i="8" a="1"/>
  <c r="J109" i="8" s="1"/>
  <c r="J108" i="8" a="1"/>
  <c r="J108" i="8" s="1"/>
  <c r="J107" i="8" a="1"/>
  <c r="J107" i="8" s="1"/>
  <c r="J106" i="8" a="1"/>
  <c r="J106" i="8" s="1"/>
  <c r="J105" i="8" a="1"/>
  <c r="J105" i="8" s="1"/>
  <c r="J104" i="8" a="1"/>
  <c r="J104" i="8" s="1"/>
  <c r="J103" i="8" a="1"/>
  <c r="J103" i="8" s="1"/>
  <c r="J102" i="8" a="1"/>
  <c r="J102" i="8" s="1"/>
  <c r="J101" i="8" a="1"/>
  <c r="J101" i="8" s="1"/>
  <c r="J100" i="8" a="1"/>
  <c r="J100" i="8" s="1"/>
  <c r="J99" i="8" a="1"/>
  <c r="J99" i="8" s="1"/>
  <c r="J98" i="8" a="1"/>
  <c r="J98" i="8" s="1"/>
  <c r="J97" i="8" a="1"/>
  <c r="J97" i="8" s="1"/>
  <c r="J96" i="8" a="1"/>
  <c r="J96" i="8" s="1"/>
  <c r="J95" i="8" a="1"/>
  <c r="J95" i="8" s="1"/>
  <c r="J94" i="8" a="1"/>
  <c r="J94" i="8" s="1"/>
  <c r="J93" i="8" a="1"/>
  <c r="J93" i="8" s="1"/>
  <c r="J92" i="8" a="1"/>
  <c r="J92" i="8" s="1"/>
  <c r="J91" i="8" a="1"/>
  <c r="J91" i="8" s="1"/>
  <c r="J90" i="8" a="1"/>
  <c r="J90" i="8" s="1"/>
  <c r="J89" i="8" a="1"/>
  <c r="J89" i="8" s="1"/>
  <c r="J88" i="8" a="1"/>
  <c r="J88" i="8" s="1"/>
  <c r="J87" i="8" a="1"/>
  <c r="J87" i="8" s="1"/>
  <c r="J86" i="8" a="1"/>
  <c r="J86" i="8" s="1"/>
  <c r="J85" i="8" a="1"/>
  <c r="J85" i="8" s="1"/>
  <c r="J84" i="8" a="1"/>
  <c r="J84" i="8" s="1"/>
  <c r="J83" i="8" a="1"/>
  <c r="J83" i="8" s="1"/>
  <c r="J82" i="8" a="1"/>
  <c r="J82" i="8" s="1"/>
  <c r="J81" i="8" a="1"/>
  <c r="J81" i="8" s="1"/>
  <c r="J80" i="8" a="1"/>
  <c r="J80" i="8" s="1"/>
  <c r="J79" i="8" a="1"/>
  <c r="J79" i="8" s="1"/>
  <c r="J78" i="8" a="1"/>
  <c r="J78" i="8" s="1"/>
  <c r="J77" i="8" a="1"/>
  <c r="J77" i="8" s="1"/>
  <c r="J76" i="8" a="1"/>
  <c r="J76" i="8" s="1"/>
  <c r="J75" i="8" a="1"/>
  <c r="J75" i="8" s="1"/>
  <c r="J74" i="8" a="1"/>
  <c r="J74" i="8" s="1"/>
  <c r="J73" i="8" a="1"/>
  <c r="J73" i="8" s="1"/>
  <c r="J72" i="8" a="1"/>
  <c r="J72" i="8" s="1"/>
  <c r="J71" i="8" a="1"/>
  <c r="J71" i="8" s="1"/>
  <c r="J70" i="8" a="1"/>
  <c r="J70" i="8" s="1"/>
  <c r="J69" i="8" a="1"/>
  <c r="J69" i="8" s="1"/>
  <c r="J68" i="8" a="1"/>
  <c r="J68" i="8" s="1"/>
  <c r="J67" i="8" a="1"/>
  <c r="J67" i="8" s="1"/>
  <c r="J66" i="8" a="1"/>
  <c r="J66" i="8" s="1"/>
  <c r="J65" i="8" a="1"/>
  <c r="J65" i="8" s="1"/>
  <c r="J64" i="8" a="1"/>
  <c r="J64" i="8" s="1"/>
  <c r="J63" i="8" a="1"/>
  <c r="J63" i="8" s="1"/>
  <c r="J62" i="8" a="1"/>
  <c r="J62" i="8" s="1"/>
  <c r="J61" i="8" a="1"/>
  <c r="J61" i="8" s="1"/>
  <c r="J60" i="8" a="1"/>
  <c r="J60" i="8" s="1"/>
  <c r="J59" i="8" a="1"/>
  <c r="J59" i="8" s="1"/>
  <c r="J58" i="8" a="1"/>
  <c r="J58" i="8" s="1"/>
  <c r="J57" i="8" a="1"/>
  <c r="J57" i="8" s="1"/>
  <c r="J56" i="8" a="1"/>
  <c r="J56" i="8" s="1"/>
  <c r="J55" i="8" a="1"/>
  <c r="J55" i="8" s="1"/>
  <c r="J54" i="8" a="1"/>
  <c r="J54" i="8" s="1"/>
  <c r="J53" i="8" a="1"/>
  <c r="J53" i="8" s="1"/>
  <c r="J52" i="8" a="1"/>
  <c r="J52" i="8" s="1"/>
  <c r="J51" i="8" a="1"/>
  <c r="J51" i="8" s="1"/>
  <c r="J50" i="8" a="1"/>
  <c r="J50" i="8" s="1"/>
  <c r="J49" i="8" a="1"/>
  <c r="J49" i="8" s="1"/>
  <c r="J48" i="8" a="1"/>
  <c r="J48" i="8" s="1"/>
  <c r="J47" i="8" a="1"/>
  <c r="J47" i="8" s="1"/>
  <c r="J46" i="8" a="1"/>
  <c r="J46" i="8" s="1"/>
  <c r="J45" i="8" a="1"/>
  <c r="J45" i="8" s="1"/>
  <c r="J44" i="8" a="1"/>
  <c r="J44" i="8" s="1"/>
  <c r="J43" i="8" a="1"/>
  <c r="J43" i="8" s="1"/>
  <c r="J42" i="8" a="1"/>
  <c r="J42" i="8" s="1"/>
  <c r="J41" i="8" a="1"/>
  <c r="J41" i="8" s="1"/>
  <c r="J40" i="8" a="1"/>
  <c r="J40" i="8" s="1"/>
  <c r="J39" i="8" a="1"/>
  <c r="J39" i="8" s="1"/>
  <c r="J38" i="8" a="1"/>
  <c r="J38" i="8" s="1"/>
  <c r="J37" i="8" a="1"/>
  <c r="J37" i="8" s="1"/>
  <c r="J36" i="8" a="1"/>
  <c r="J36" i="8" s="1"/>
  <c r="J35" i="8" a="1"/>
  <c r="J35" i="8" s="1"/>
  <c r="J34" i="8" a="1"/>
  <c r="J34" i="8" s="1"/>
  <c r="J33" i="8" a="1"/>
  <c r="J33" i="8" s="1"/>
  <c r="J32" i="8" a="1"/>
  <c r="J32" i="8" s="1"/>
  <c r="J31" i="8" a="1"/>
  <c r="J31" i="8" s="1"/>
  <c r="J30" i="8" a="1"/>
  <c r="J30" i="8" s="1"/>
  <c r="J29" i="8" a="1"/>
  <c r="J29" i="8" s="1"/>
  <c r="J28" i="8" a="1"/>
  <c r="J28" i="8" s="1"/>
  <c r="J27" i="8" a="1"/>
  <c r="J27" i="8" s="1"/>
  <c r="J26" i="8" a="1"/>
  <c r="J26" i="8" s="1"/>
  <c r="J25" i="8" a="1"/>
  <c r="J25" i="8" s="1"/>
  <c r="J24" i="8" a="1"/>
  <c r="J24" i="8" s="1"/>
  <c r="J23" i="8" a="1"/>
  <c r="J23" i="8" s="1"/>
  <c r="J22" i="8" a="1"/>
  <c r="J22" i="8" s="1"/>
  <c r="J21" i="8" a="1"/>
  <c r="J21" i="8" s="1"/>
  <c r="J20" i="8" a="1"/>
  <c r="J20" i="8" s="1"/>
  <c r="J19" i="8" a="1"/>
  <c r="J19" i="8" s="1"/>
  <c r="J18" i="8" a="1"/>
  <c r="J18" i="8" s="1"/>
  <c r="J17" i="8" a="1"/>
  <c r="J17" i="8" s="1"/>
  <c r="J16" i="8" a="1"/>
  <c r="J16" i="8" s="1"/>
  <c r="J15" i="8" a="1"/>
  <c r="J15" i="8" s="1"/>
  <c r="J14" i="8" a="1"/>
  <c r="J14" i="8" s="1"/>
  <c r="J13" i="8" a="1"/>
  <c r="J13" i="8" s="1"/>
  <c r="J12" i="8" a="1"/>
  <c r="J12" i="8" s="1"/>
  <c r="J11" i="8" a="1"/>
  <c r="J11" i="8" s="1"/>
  <c r="J10" i="8" a="1"/>
  <c r="J10" i="8" s="1"/>
  <c r="J9" i="8" a="1"/>
  <c r="J9" i="8" s="1"/>
  <c r="J8" i="8" a="1"/>
  <c r="J8" i="8" s="1"/>
  <c r="J7" i="8" a="1"/>
  <c r="J7" i="8" s="1"/>
  <c r="J6" i="8" a="1"/>
  <c r="J6" i="8" s="1"/>
  <c r="J5" i="8" a="1"/>
  <c r="J5" i="8" s="1"/>
  <c r="J4" i="8" a="1"/>
  <c r="J4" i="8"/>
  <c r="A12" i="8" a="1"/>
  <c r="A12" i="8"/>
  <c r="F8" i="8" a="1"/>
  <c r="F8" i="8"/>
  <c r="B5" i="8"/>
  <c r="B6" i="8"/>
  <c r="B7" i="8"/>
  <c r="B8" i="8"/>
  <c r="R4" i="8" l="1"/>
  <c r="R5" i="8"/>
  <c r="R6" i="8"/>
  <c r="R7" i="8"/>
  <c r="R8" i="8"/>
  <c r="R9" i="8"/>
  <c r="R10" i="8"/>
  <c r="Q4" i="8"/>
  <c r="Q5" i="8"/>
  <c r="Q6" i="8"/>
  <c r="Q7" i="8"/>
  <c r="Q8" i="8"/>
  <c r="Q9" i="8"/>
  <c r="Q10" i="8"/>
  <c r="P4" i="8"/>
  <c r="P5" i="8"/>
  <c r="P6" i="8"/>
  <c r="P7" i="8"/>
  <c r="P8" i="8"/>
  <c r="P9" i="8"/>
  <c r="P10" i="8"/>
  <c r="O4" i="8"/>
  <c r="S4" i="8" s="1"/>
  <c r="O5" i="8"/>
  <c r="S5" i="8" s="1"/>
  <c r="O6" i="8"/>
  <c r="S6" i="8" s="1"/>
  <c r="O7" i="8"/>
  <c r="S7" i="8" s="1"/>
  <c r="O8" i="8"/>
  <c r="S8" i="8" s="1"/>
  <c r="O9" i="8"/>
  <c r="S9" i="8" s="1"/>
  <c r="O10" i="8"/>
  <c r="S10" i="8" s="1"/>
  <c r="U10" i="8"/>
  <c r="U9" i="8"/>
  <c r="U8" i="8"/>
  <c r="U7" i="8"/>
  <c r="U6" i="8"/>
  <c r="U5" i="8"/>
  <c r="U4" i="8"/>
  <c r="T10" i="8"/>
  <c r="T9" i="8"/>
  <c r="T8" i="8"/>
  <c r="T7" i="8"/>
  <c r="T6" i="8"/>
  <c r="T5" i="8"/>
  <c r="T4" i="8"/>
  <c r="C8" i="8"/>
  <c r="C7" i="8"/>
  <c r="F5" i="8"/>
  <c r="C6" i="8"/>
  <c r="F4" i="8"/>
  <c r="C5" i="8"/>
  <c r="F11" i="8"/>
  <c r="F12" i="8"/>
  <c r="F13" i="8"/>
  <c r="F14" i="8"/>
  <c r="F15" i="8"/>
  <c r="G15" i="8" s="1"/>
  <c r="F7" i="8" l="1"/>
  <c r="F6" i="8"/>
  <c r="G14" i="8"/>
  <c r="G13" i="8"/>
  <c r="G12" i="8"/>
  <c r="G11"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<sst xmlns="http://schemas.openxmlformats.org/spreadsheetml/2006/main" count="3420" uniqueCount="1495">
  <si>
    <t>ID</t>
  </si>
  <si>
    <t>Date</t>
  </si>
  <si>
    <t>Type</t>
  </si>
  <si>
    <t>Category</t>
  </si>
  <si>
    <t>Day</t>
  </si>
  <si>
    <t>Exercise</t>
  </si>
  <si>
    <t>LastWeight</t>
  </si>
  <si>
    <t>TodayWeight</t>
  </si>
  <si>
    <t>LastReps</t>
  </si>
  <si>
    <t>TodayReps</t>
  </si>
  <si>
    <t>Set</t>
  </si>
  <si>
    <t>Completed</t>
  </si>
  <si>
    <t>LastCompletedDate</t>
  </si>
  <si>
    <t>Description</t>
  </si>
  <si>
    <t>__PowerAppsId__</t>
  </si>
  <si>
    <t>_norm</t>
  </si>
  <si>
    <t>Primary</t>
  </si>
  <si>
    <t>Secondary</t>
  </si>
  <si>
    <t>__prog_name__</t>
  </si>
  <si>
    <t>RPE</t>
  </si>
  <si>
    <t>2026-01-02</t>
  </si>
  <si>
    <t>Core</t>
  </si>
  <si>
    <t>Isolation</t>
  </si>
  <si>
    <t>3</t>
  </si>
  <si>
    <t>Ab wheel rollout</t>
  </si>
  <si>
    <t>no</t>
  </si>
  <si>
    <t>2026-01-03</t>
  </si>
  <si>
    <t>Ab wheel rollout: teknisk fokus på stabil kerne, kontrolleret tempo og smertefri ROM. Udfør med kontrolleret tempo, neutral ryg og smertefri bevægebane; stop 1–2 reps før failure.</t>
  </si>
  <si>
    <t>51a5167b-0f4f-46af-817f-2d13f60a82ef</t>
  </si>
  <si>
    <t>ab wheel rollout</t>
  </si>
  <si>
    <t>Push</t>
  </si>
  <si>
    <t>H</t>
  </si>
  <si>
    <t>Armbøjninger</t>
  </si>
  <si>
    <t>e5ad6c0f-2c72-4ef7-837e-4325b3cc40bf</t>
  </si>
  <si>
    <t>Compound</t>
  </si>
  <si>
    <t>Bench dips</t>
  </si>
  <si>
    <t>yes</t>
  </si>
  <si>
    <t>2026-04-01</t>
  </si>
  <si>
    <t>Bench dips: teknisk fokus på stabil kerne, kontrolleret tempo og smertefri ROM. Udfør med kontrolleret tempo, neutral ryg og smertefri bevægebane; stop 1–2 reps før failure.</t>
  </si>
  <si>
    <t>19bd9b51-c560-4368-8c6b-211722f48da1</t>
  </si>
  <si>
    <t>bench dips</t>
  </si>
  <si>
    <t>Bench press</t>
  </si>
  <si>
    <t>2026-04-29</t>
  </si>
  <si>
    <t>Press: skulderblade tilbage/ned; kontrolleret dybde; undgå brede greb der irriterer skulder. Udfør med kontrolleret tempo, neutral ryg og smertefri bevægebane; stop 1–2 reps før failure.</t>
  </si>
  <si>
    <t>f7a39285-f6b8-4da2-b9ee-7e52d0a7f56a</t>
  </si>
  <si>
    <t>bench press</t>
  </si>
  <si>
    <t>Leg</t>
  </si>
  <si>
    <t>2</t>
  </si>
  <si>
    <t>Bulgarian split squat (One leg, fod on bench)</t>
  </si>
  <si>
    <t>The Bulgarian split squat is
a challenging unilateral, or single-leg, lower-body exercise that targets the quadriceps, glutes, hamstrings, and calves. It is performed by elevating the back foot on a bench or sturdy surface while squatting with the front leg</t>
  </si>
  <si>
    <t>28eed971-4dcc-4de7-b0dc-6c6d1ebdbc82</t>
  </si>
  <si>
    <t>bulgarian split squat (one leg, fod on bench)</t>
  </si>
  <si>
    <t>Cable Crunch</t>
  </si>
  <si>
    <t>Bøj kroppen fremover ved CT</t>
  </si>
  <si>
    <t>2dfe1d65-6a6a-4dcb-b05a-23815cbbb12c</t>
  </si>
  <si>
    <t>cable crunch</t>
  </si>
  <si>
    <t>Pull</t>
  </si>
  <si>
    <t>Stabilization</t>
  </si>
  <si>
    <t>1</t>
  </si>
  <si>
    <t>Cable External Rotation (90° elbow)</t>
  </si>
  <si>
    <t>2026-01-28</t>
  </si>
  <si>
    <t>Light load; rotate forearm outward keeping elbow at side; rotator cuff focus.</t>
  </si>
  <si>
    <t>61d7689c-5c4c-4c0b-8e04-d981f77dc777</t>
  </si>
  <si>
    <t>Cable internal rotation (Cable tower)</t>
  </si>
  <si>
    <t>Cable internal rotation (Cable tower): teknisk fokus på stabil kerne, kontrolleret tempo og smertefri ROM. Udfør med kontrolleret tempo, neutral ryg og smertefri bevægebane; stop 1–2 reps før failure.</t>
  </si>
  <si>
    <t>c0ec6872-e1af-4e9b-ad55-76e750480381</t>
  </si>
  <si>
    <t>cable internal rotation (cable tower)</t>
  </si>
  <si>
    <t>Cable Pallof Press</t>
  </si>
  <si>
    <t>2026-04-04</t>
  </si>
  <si>
    <t>Stand side‑on; press cable out; resist rotation; steady breathing.</t>
  </si>
  <si>
    <t>61d7689c-5c4c-4c0b-8e04-d981f77dc602</t>
  </si>
  <si>
    <t>curl (Cable tower)</t>
  </si>
  <si>
    <t>Exhale as you curl the bar up toward your shoulders in a slow and controlled arc. Keep your upper arms stationary throughout the movement</t>
  </si>
  <si>
    <t>f26452fb-4b2d-44c5-92e1-c873f76a7b78</t>
  </si>
  <si>
    <t>curl (cable tower)</t>
  </si>
  <si>
    <t>Dumbbell Hex Press</t>
  </si>
  <si>
    <t>2026-04-13</t>
  </si>
  <si>
    <t>Samlet dumbells på bænk</t>
  </si>
  <si>
    <t>f2cf062e-46cf-4883-8c4d-5f7a2a75ba14</t>
  </si>
  <si>
    <t>Dumbbell squat (With plate)</t>
  </si>
  <si>
    <t>Squat: knæ følger tæer; neutral ryg; dybde uden smerte; vægt midtfod. Udfør med kontrolleret tempo, neutral ryg og smertefri bevægebane; stop 1–2 reps før failure.</t>
  </si>
  <si>
    <t>1c67b575-7cea-4704-8bb8-87ad1023d729</t>
  </si>
  <si>
    <t>dumbbell squat (with plate)</t>
  </si>
  <si>
    <t>Dumbell rows</t>
  </si>
  <si>
    <t>27,5</t>
  </si>
  <si>
    <t>Row: træk mod nederste ribben; hold neutral ryg; pause i top for bedre rygaktivering. Udfør med kontrolleret tempo, neutral ryg og smertefri bevægebane; stop 1–2 reps før failure.</t>
  </si>
  <si>
    <t>7b387ec1-34fe-4621-8cf8-a2405730c9c5</t>
  </si>
  <si>
    <t>dumbell rows</t>
  </si>
  <si>
    <t>Farmer’s Walk</t>
  </si>
  <si>
    <t>2026-01-21</t>
  </si>
  <si>
    <t>fe00ccde-1568-4a7a-beee-3f8893bed775</t>
  </si>
  <si>
    <t>farmers walk (in steps)</t>
  </si>
  <si>
    <t>Hammer Curl</t>
  </si>
  <si>
    <t>17,5</t>
  </si>
  <si>
    <t>2026-03-27</t>
  </si>
  <si>
    <t>99fb6250-6027-46e9-9296-ed13b6476e48</t>
  </si>
  <si>
    <t>hammer curls</t>
  </si>
  <si>
    <t>Hanging leg raise</t>
  </si>
  <si>
    <t>Raise: let albuebøjning; løft til skulderhøjde; langsom excentrisk. Udfør med kontrolleret tempo, neutral ryg og smertefri bevægebane; stop 1–2 reps før failure.</t>
  </si>
  <si>
    <t>56241640-d11c-4e00-a5d0-233e73f589e7</t>
  </si>
  <si>
    <t>hanging leg raise</t>
  </si>
  <si>
    <t>9</t>
  </si>
  <si>
    <t>Incline Dumbbell Press (neutral grip)</t>
  </si>
  <si>
    <t>2026-03-19</t>
  </si>
  <si>
    <t>Incline bench; neutral grip; press slightly up/back; avoid painful wide angles.</t>
  </si>
  <si>
    <t>61d7689c-5c4c-4c0b-8e04-d981f77dc788</t>
  </si>
  <si>
    <t>Inclined curls</t>
  </si>
  <si>
    <t>12,5</t>
  </si>
  <si>
    <t>Curl: albuer stille; kontrolleret op; langsom sænk; undgå at svinge kroppen. Udfør med kontrolleret tempo, neutral ryg og smertefri bevægebane; stop 1–2 reps før failure.</t>
  </si>
  <si>
    <t>3c321e83-71b9-436c-99a7-b89383096000</t>
  </si>
  <si>
    <t>inclined curls</t>
  </si>
  <si>
    <t>Lateral raises</t>
  </si>
  <si>
    <t>A lateral raise is
an isolation exercise that strengthens the shoulder muscles, specifically targeting the side—or lateral—deltoids. This movement involves lifting weights out to the side of the body until the arms are parallel to the floor</t>
  </si>
  <si>
    <t>403193ba-9535-4f2c-8c43-6324357b2a9d</t>
  </si>
  <si>
    <t>lateral raises</t>
  </si>
  <si>
    <t>Leg Extension</t>
  </si>
  <si>
    <t>2026-03-30</t>
  </si>
  <si>
    <t>4e7382f0-fd5e-41f6-80c7-d9aeb3284a04</t>
  </si>
  <si>
    <t>leg extension</t>
  </si>
  <si>
    <t>Neck Extension (band/machine)</t>
  </si>
  <si>
    <t>Light load; gentle extension; avoid jerks; small ROM.</t>
  </si>
  <si>
    <t>61d7689c-5c4c-4c0b-8e04-d981f77dc722</t>
  </si>
  <si>
    <t>Neck Flexion (band/machine)</t>
  </si>
  <si>
    <t>Light load; chin tuck; small ROM; slow tempo.</t>
  </si>
  <si>
    <t>61d7689c-5c4c-4c0b-8e04-d981f77dc733</t>
  </si>
  <si>
    <t>Neck Isometric – Extension (hand resistance)</t>
  </si>
  <si>
    <t>Sid/stå rank; placer hånden bag på hovedet og pres let bagud uden bevægelse (isometrisk). Hold 5–10 sek, slip kontrolleret. Meget lav belastning.</t>
  </si>
  <si>
    <t>61d7689c-5c4c-4c0b-8e04-d981f77dc605</t>
  </si>
  <si>
    <t>Neck Isometric – Flexion (hand resistance)</t>
  </si>
  <si>
    <t>Sid/stå rank; placer hånden mod panden og pres let fremad uden bevægelse (isometrisk). Hold 5–10 sek, slip kontrolleret. Meget lav belastning.</t>
  </si>
  <si>
    <t>61d7689c-5c4c-4c0b-8e04-d981f77dc604</t>
  </si>
  <si>
    <t>Neutral Grip Lat Pulldown</t>
  </si>
  <si>
    <t>e9728fcb-e90e-4e5b-b70a-8254dab58e87</t>
  </si>
  <si>
    <t>lat pulldowns (chair, narrow-grip. cable tower)</t>
  </si>
  <si>
    <t>Plank (in sec)</t>
  </si>
  <si>
    <t>2026-01-09</t>
  </si>
  <si>
    <t>Plank: ribben ned; spænd mave/glutes; vejrtræk roligt; begræns lændesvaj. Udfør med kontrolleret tempo, neutral ryg og smertefri bevægebane; stop 1–2 reps før failure.</t>
  </si>
  <si>
    <t>1a5ed153-3db2-4760-a545-2717a5fecce1</t>
  </si>
  <si>
    <t>plank (in sec)</t>
  </si>
  <si>
    <t>Pull up</t>
  </si>
  <si>
    <t>Pull-up: skulderbredt greb; bryst mod stang; skulderblade ned/tilbage. Udfør med kontrolleret tempo, neutral ryg og smertefri bevægebane; stop 1–2 reps før failure.</t>
  </si>
  <si>
    <t>98c938c4-5d48-4774-a903-4b101917f6eb</t>
  </si>
  <si>
    <t>pull up</t>
  </si>
  <si>
    <t>Pull up vinkel</t>
  </si>
  <si>
    <t>7f894bef-56f4-40cd-af82-44749313f1c3</t>
  </si>
  <si>
    <t>pull up vinkel</t>
  </si>
  <si>
    <t>Push up</t>
  </si>
  <si>
    <t>Push up: teknisk fokus på stabil kerne, kontrolleret tempo og smertefri ROM. Udfør med kontrolleret tempo, neutral ryg og smertefri bevægebane; stop 1–2 reps før failure.</t>
  </si>
  <si>
    <t>4696ff6f-06fd-49a8-bf7a-a2042d40ffac</t>
  </si>
  <si>
    <t>push up</t>
  </si>
  <si>
    <t>Reverse Barbell Curl</t>
  </si>
  <si>
    <t>Overhand grip; wrist control; hits brachialis/extensors.</t>
  </si>
  <si>
    <t>61d7689c-5c4c-4c0b-8e04-d981f77dc711</t>
  </si>
  <si>
    <t>Rope Face Pulls</t>
  </si>
  <si>
    <t>c06f87b0-5403-4485-a3e7-448ee94e4cc6</t>
  </si>
  <si>
    <t>face pulls (cable tower)</t>
  </si>
  <si>
    <t>O</t>
  </si>
  <si>
    <t>Row machine (in min)</t>
  </si>
  <si>
    <t>61d7689c-5c4c-4c0b-8e04-d981f77dc786</t>
  </si>
  <si>
    <t>row machine</t>
  </si>
  <si>
    <t>Seated Cable Row (neutral grip)</t>
  </si>
  <si>
    <t>2026-04-26</t>
  </si>
  <si>
    <t>Row to lower ribs; neutral spine; pause and squeeze shoulder blades.</t>
  </si>
  <si>
    <t>61d7689c-5c4c-4c0b-8e04-d981f77dc755</t>
  </si>
  <si>
    <t>Seated Dumbbell Shoulder Press (slight incline)</t>
  </si>
  <si>
    <t>8d30d553-0336-403a-a59b-2a34ae8291fc</t>
  </si>
  <si>
    <t>seated dumbbell shoulder press</t>
  </si>
  <si>
    <t>Seated Leg Curl ok</t>
  </si>
  <si>
    <t>Pad above heels; curl down; brief squeeze; full control.</t>
  </si>
  <si>
    <t>61d7689c-5c4c-4c0b-8e04-d981f77dc601</t>
  </si>
  <si>
    <t>Single-arm dumbbell overhead extension</t>
  </si>
  <si>
    <t>Single-arm dumbbell overhead extension: teknisk fokus på stabil kerne, kontrolleret tempo og smertefri ROM. Udfør med kontrolleret tempo, neutral ryg og smertefri bevægebane; stop 1–2 reps før failure.</t>
  </si>
  <si>
    <t>5e70b82a-cc5f-4906-8fa9-5dde1090fb6d</t>
  </si>
  <si>
    <t>single-arm dumbbell overhead extension</t>
  </si>
  <si>
    <t>Single-Arm Dumbbell Row</t>
  </si>
  <si>
    <t>Support on bench; pull DB toward hip; control the descent.</t>
  </si>
  <si>
    <t>61d7689c-5c4c-4c0b-8e04-d981f77dc744</t>
  </si>
  <si>
    <t>Split squat (Langt skridt)</t>
  </si>
  <si>
    <t>A split squat, also known as a static lunge, is
a unilateral (single-leg) exercise that builds lower-body strength, balance, and stability. Unlike a traditional walking lunge where you step forward or backward with each repetition, the split squat keeps your feet fixed in a staggered stance for the duration of a set. Reps er per ben. Tyspisk som supersæt med arm øvelse</t>
  </si>
  <si>
    <t>b2778c1b-0515-4fab-9e16-2ba84195ec0b</t>
  </si>
  <si>
    <t>split squat</t>
  </si>
  <si>
    <t>Squat</t>
  </si>
  <si>
    <t>ede30bad-85c9-4e40-81d8-da720be7aaa8</t>
  </si>
  <si>
    <t>squat</t>
  </si>
  <si>
    <t>Standing Cable Chest Press (split-0stance, neutral grip)</t>
  </si>
  <si>
    <t>Stå i split-stance foran kabeltårn; neutral greb; pres frem i brysthøjde mens skulderblade holdes tilbage/ned. Kontrolleret 2-1-2 tempo. Som i bænkpres</t>
  </si>
  <si>
    <t>61d7689c-5c4c-4c0b-8e04-d981f77dc799</t>
  </si>
  <si>
    <t>Stationary Bike (moderate, weekly 45min)</t>
  </si>
  <si>
    <t>Moderate cadence; RPE ~6/10; knee‑friendly cardio.</t>
  </si>
  <si>
    <t>61d7689c-5c4c-4c0b-8e04-d981f77dc603</t>
  </si>
  <si>
    <t>Straight arm pulldown cable (Cable tower)</t>
  </si>
  <si>
    <t>Straight arm pulldown cable (Cable tower): teknisk fokus på stabil kerne, kontrolleret tempo og smertefri ROM. Udfør med kontrolleret tempo, neutral ryg og smertefri bevægebane; stop 1–2 reps før failure.</t>
  </si>
  <si>
    <t>57717c87-4581-4075-aad4-bcbf50b81ae9</t>
  </si>
  <si>
    <t>straight arm pulldown cable (cable tower)</t>
  </si>
  <si>
    <t>TEST</t>
  </si>
  <si>
    <t>ef96b4f9-9e18-4b53-befd-3060645bc7f2</t>
  </si>
  <si>
    <t>Triceps pulldown (Cable tower,  narrow-grip)</t>
  </si>
  <si>
    <t>2026-02-04</t>
  </si>
  <si>
    <t>y54645yy5r g5g5g g554</t>
  </si>
  <si>
    <t>898edb36-c80b-46c1-99c8-25e935e153f3</t>
  </si>
  <si>
    <t>triceps pulldown (cable tower,  narrow-grip)</t>
  </si>
  <si>
    <t>Triceps Rope Pushdown</t>
  </si>
  <si>
    <t>Elbows fixed; full extension if pain‑free; slow eccentric.</t>
  </si>
  <si>
    <t>61d7689c-5c4c-4c0b-8e04-d981f77dc766</t>
  </si>
  <si>
    <t>Cross body hammer curls</t>
  </si>
  <si>
    <t>138c1aa6-741c-42a5-b036-867f5d63f7e3</t>
  </si>
  <si>
    <t>Deadlift</t>
  </si>
  <si>
    <t>914a5b7b-3389-4bc8-8673-b1fa4cb742a3</t>
  </si>
  <si>
    <t>Pike pushup</t>
  </si>
  <si>
    <t>932d2222-fbd6-47e8-b031-56a21a99b13a</t>
  </si>
  <si>
    <t>overhead tricep extension cable</t>
  </si>
  <si>
    <t>4dea49aa-50fa-491f-9368-b07bf8882b23</t>
  </si>
  <si>
    <t>Dumbell shoulder press</t>
  </si>
  <si>
    <t>Vægt er pr arm</t>
  </si>
  <si>
    <t>89ade17b-03f5-4cb6-aba9-09e1ed2b148a</t>
  </si>
  <si>
    <t>Incline bench press</t>
  </si>
  <si>
    <t>1c369eb4-3241-4d6c-bd85-9266f8e2f061</t>
  </si>
  <si>
    <t>2026-04-02</t>
  </si>
  <si>
    <t>KB curl</t>
  </si>
  <si>
    <t>kb curl</t>
  </si>
  <si>
    <t>Biceps</t>
  </si>
  <si>
    <t>Planche Lean (hold)</t>
  </si>
  <si>
    <t>Handstand Push-up progression (wall)</t>
  </si>
  <si>
    <t>Elbow lever practice</t>
  </si>
  <si>
    <t>Dumbbell Romanian Deadlift</t>
  </si>
  <si>
    <t>DateOnly</t>
  </si>
  <si>
    <t>TimeOnly</t>
  </si>
  <si>
    <t>DagKey</t>
  </si>
  <si>
    <t>Kategori (master)</t>
  </si>
  <si>
    <t>Primær (master)</t>
  </si>
  <si>
    <t>01-11-2025 16:00</t>
  </si>
  <si>
    <t>2025-10-01</t>
  </si>
  <si>
    <t>fed58596-fb2b-4d06-bfec-62801c1ee90b</t>
  </si>
  <si>
    <t>aa41095f-fcb1-400d-aae1-fec653468938</t>
  </si>
  <si>
    <t>4b531d6c-f4d7-4ce9-a7fa-633032d1f242</t>
  </si>
  <si>
    <t>7f31fb37-d7d7-4513-807f-791a046fe57b</t>
  </si>
  <si>
    <t>4110291d-c9ef-41d6-be17-e9e32482295c</t>
  </si>
  <si>
    <t>24100922-68c6-425c-a81f-b153b69d5b4b</t>
  </si>
  <si>
    <t>e0ba63f2-0506-4e6d-8956-fa1e1ae1426d</t>
  </si>
  <si>
    <t>b615fca7-620b-4cb9-901b-e24982b54db6</t>
  </si>
  <si>
    <t>148600ea-b01d-4ce5-b532-88c09d1c1048</t>
  </si>
  <si>
    <t>913558a1-be92-4562-baf2-3eda0e154af8</t>
  </si>
  <si>
    <t>99cd2155-884e-4c65-9c0b-b7a4df122501</t>
  </si>
  <si>
    <t>02-11-2025 16:00</t>
  </si>
  <si>
    <t>2025-10-02</t>
  </si>
  <si>
    <t>9fdf28a4-cf0b-4f57-8a48-40e55ce7c6f5</t>
  </si>
  <si>
    <t>bed949b0-9ec0-485f-9f1c-7a92da65d585</t>
  </si>
  <si>
    <t>f7ea04a5-fda8-4642-8814-07e309792aab</t>
  </si>
  <si>
    <t>f3586c62-23ea-487b-b6b1-3861b60f51d8</t>
  </si>
  <si>
    <t>c6ad6159-b153-4af3-9e40-288226816663</t>
  </si>
  <si>
    <t>03-11-2025 23:08</t>
  </si>
  <si>
    <t>2025-10-03</t>
  </si>
  <si>
    <t>9dca7869-8288-46cc-92d7-8a5d8d431d64</t>
  </si>
  <si>
    <t>04-11-2025 18:37</t>
  </si>
  <si>
    <t>2025-10-04</t>
  </si>
  <si>
    <t>0cf9fcd5-e65b-446a-9a75-9cfad9684e9b</t>
  </si>
  <si>
    <t>04-11-2025 18:42</t>
  </si>
  <si>
    <t>a367791f-fed6-4b1a-b55f-c49f6535dd15</t>
  </si>
  <si>
    <t>04-11-2025 18:52</t>
  </si>
  <si>
    <t>4d2e612f-a4b3-4895-8b58-309f5d3cadc7</t>
  </si>
  <si>
    <t>04-11-2025 19:00</t>
  </si>
  <si>
    <t>7077c24a-8309-4095-b863-8ed985b70c90</t>
  </si>
  <si>
    <t>04-11-2025 19:07</t>
  </si>
  <si>
    <t>fc952965-57a4-4a4b-a3ef-2cc100f62be3</t>
  </si>
  <si>
    <t>04-11-2025 19:08</t>
  </si>
  <si>
    <t>59616a9c-f593-4151-aa2d-190db124982f</t>
  </si>
  <si>
    <t>04-11-2025 19:16</t>
  </si>
  <si>
    <t>dbfb51ef-9248-4c66-80cf-d9a6550c8148</t>
  </si>
  <si>
    <t>04-11-2025 19:21</t>
  </si>
  <si>
    <t>6b5c3474-fa90-4597-8e41-a2525c85199e</t>
  </si>
  <si>
    <t>04-11-2025 19:28</t>
  </si>
  <si>
    <t>85b88801-310b-4d8e-bf2f-e2188665ac3d</t>
  </si>
  <si>
    <t>04-11-2025 19:40</t>
  </si>
  <si>
    <t>fa135e09-04c8-4f2b-b681-26eb9ba48aac</t>
  </si>
  <si>
    <t>07-11-2025 22:54</t>
  </si>
  <si>
    <t>2025-10-07</t>
  </si>
  <si>
    <t>2d89a75c-ce7c-4f37-b6a8-0e16cbcd2b09</t>
  </si>
  <si>
    <t>07-11-2025 22:55</t>
  </si>
  <si>
    <t>e0374995-c4dc-4512-acb5-95a7e11c1a27</t>
  </si>
  <si>
    <t>07-11-2025 23:23</t>
  </si>
  <si>
    <t>b60abd87-923e-48d1-99a1-ec126afa68f7</t>
  </si>
  <si>
    <t>32863481-468f-4ab7-b0df-166c91abbc6e</t>
  </si>
  <si>
    <t>09-11-2025 17:44</t>
  </si>
  <si>
    <t>2025-10-09</t>
  </si>
  <si>
    <t>750ec24b-3a3a-4d70-bb54-60186e10a5fb</t>
  </si>
  <si>
    <t>09-11-2025 17:53</t>
  </si>
  <si>
    <t>4bb54001-9c6f-4ccd-b7f8-0775d023df90</t>
  </si>
  <si>
    <t>09-11-2025 18:02</t>
  </si>
  <si>
    <t>4e122a17-0da4-43fe-a62c-852f9b9756bb</t>
  </si>
  <si>
    <t>09-11-2025 18:11</t>
  </si>
  <si>
    <t>397ea10c-4b20-4ca4-a229-2d03d6f40372</t>
  </si>
  <si>
    <t>09-11-2025 18:31</t>
  </si>
  <si>
    <t>61450c21-1ac2-4033-b56f-57ce09bc3fee</t>
  </si>
  <si>
    <t>09-11-2025 18:45</t>
  </si>
  <si>
    <t>7bb43cf3-65ab-4d6b-a51f-dd5f9f61fbf1</t>
  </si>
  <si>
    <t>09-11-2025 18:57</t>
  </si>
  <si>
    <t>eaba2408-a838-4b69-86bc-6dbf92e80b2a</t>
  </si>
  <si>
    <t>09-11-2025 19:08</t>
  </si>
  <si>
    <t>1189bbb9-b8b3-4adc-b6ef-8e23491e156f</t>
  </si>
  <si>
    <t>09-11-2025 19:24</t>
  </si>
  <si>
    <t>f6053488-32d2-4f16-925e-de771ff0acc4</t>
  </si>
  <si>
    <t>09-11-2025 19:28</t>
  </si>
  <si>
    <t>e13376ea-af15-4012-be39-c0d9a6e248b5</t>
  </si>
  <si>
    <t>13-11-2025 22:41</t>
  </si>
  <si>
    <t>2025-10-13</t>
  </si>
  <si>
    <t>cbd2da0b-3410-40e9-8ac7-67d468f9b289</t>
  </si>
  <si>
    <t>51d859e8-9041-4fe5-bbe0-e875163ddeed</t>
  </si>
  <si>
    <t>f1521854-b83c-4b52-923b-4091765d9c69</t>
  </si>
  <si>
    <t>a440804c-3f26-42c8-8b13-35654917ed80</t>
  </si>
  <si>
    <t>5e012304-4e06-45b8-bcbf-7a345a3d1685</t>
  </si>
  <si>
    <t>14-11-2025 18:12</t>
  </si>
  <si>
    <t>2025-10-14</t>
  </si>
  <si>
    <t>ba9ce8d3-fced-4d1d-8117-ddf4ea866dcb</t>
  </si>
  <si>
    <t>14-11-2025 18:27</t>
  </si>
  <si>
    <t>5e2bfb51-5a56-47c3-81e6-33f9c7c23026</t>
  </si>
  <si>
    <t>14-11-2025 18:39</t>
  </si>
  <si>
    <t>5c0d0543-5482-469d-b05b-ae82ec2127f1</t>
  </si>
  <si>
    <t>14-11-2025 18:42</t>
  </si>
  <si>
    <t>f755e0b9-7d22-42c8-a26a-d36fee3e13d9</t>
  </si>
  <si>
    <t>14-11-2025 18:54</t>
  </si>
  <si>
    <t>dc1e96b0-5ccd-45ef-98f6-1bfba3e4710b</t>
  </si>
  <si>
    <t>14-11-2025 19:05</t>
  </si>
  <si>
    <t>628230b8-0064-44cf-ac80-4c4c59a9e0ba</t>
  </si>
  <si>
    <t>14-11-2025 19:08</t>
  </si>
  <si>
    <t>c4097d39-ee48-4000-85ed-f39c7cc73f30</t>
  </si>
  <si>
    <t>14-11-2025 19:43</t>
  </si>
  <si>
    <t>65d7b824-9852-4dd2-8899-7eb34b620741</t>
  </si>
  <si>
    <t>d99d81d2-1407-4e26-9daf-89e1fd071888</t>
  </si>
  <si>
    <t>19-10-2025 16:00</t>
  </si>
  <si>
    <t>2025-10-19</t>
  </si>
  <si>
    <t>cbf72860-53fb-4374-8b0e-2506ec5019df</t>
  </si>
  <si>
    <t>d4ada435-ded2-4a87-b9c8-675be43db3c2</t>
  </si>
  <si>
    <t>dfa98865-3822-417f-b491-3078f9cba07b</t>
  </si>
  <si>
    <t>79b45c73-5bad-4b57-beae-c49773c375fb</t>
  </si>
  <si>
    <t>15c7c678-7530-4812-abb0-afc8a20b3a59</t>
  </si>
  <si>
    <t>b1427fb3-3c1c-4d9e-981a-1d09a793f489</t>
  </si>
  <si>
    <t>fa7f690b-f6d3-40de-b67a-83db6b86b98d</t>
  </si>
  <si>
    <t>13ff03bd-11cc-44c0-abad-d3d3c7088c41</t>
  </si>
  <si>
    <t>8bed39db-2f83-4523-9250-286bfb4fe896</t>
  </si>
  <si>
    <t>71bb783f-970f-45f6-968e-de00811870e5</t>
  </si>
  <si>
    <t>e00e4451-690e-432d-a9d6-4fb2b41031ba</t>
  </si>
  <si>
    <t>7ebc1bba-35bc-42b5-a045-4ec8485ecb20</t>
  </si>
  <si>
    <t>676144c6-78bf-4479-b2da-eb2ec2e47547</t>
  </si>
  <si>
    <t>21-10-2025 16:00</t>
  </si>
  <si>
    <t>2025-10-21</t>
  </si>
  <si>
    <t>85e47a46-6beb-43dd-9550-d811b190e089</t>
  </si>
  <si>
    <t>205f8080-267b-4771-b64a-3964ebb3f4cc</t>
  </si>
  <si>
    <t>594b5922-30b2-4677-a009-5a9b994d8d4f</t>
  </si>
  <si>
    <t>ea982216-86ca-4e1f-9d8f-f77b069779f7</t>
  </si>
  <si>
    <t>22-10-2025 16:00</t>
  </si>
  <si>
    <t>2025-10-22</t>
  </si>
  <si>
    <t>72444226-d684-4e9d-a8d5-336ff594e5e0</t>
  </si>
  <si>
    <t>23-10-2025 16:00</t>
  </si>
  <si>
    <t>2025-10-23</t>
  </si>
  <si>
    <t>b4f8971c-6a69-43a9-a5f0-52b41a829e49</t>
  </si>
  <si>
    <t>dd617061-611f-4f2f-a89a-fbc7b7496a18</t>
  </si>
  <si>
    <t>b281fbab-8b5c-498f-89fc-1ec7fc3b749f</t>
  </si>
  <si>
    <t>c444d2bc-d681-4123-ab31-965cca99106a</t>
  </si>
  <si>
    <t>51a3e19b-0c23-4d39-a0c7-4cbed1f8b55e</t>
  </si>
  <si>
    <t>b016dd2a-3738-4738-a6b4-df1ae26b9fa2</t>
  </si>
  <si>
    <t>fb51fbb8-0040-4f6c-8379-30ee6b6efcaf</t>
  </si>
  <si>
    <t>1616782d-35ff-40e1-b8c5-7657868c446b</t>
  </si>
  <si>
    <t xml:space="preserve"> </t>
  </si>
  <si>
    <t>fec7c129-bcd4-425b-97bb-a0b7cbd72850</t>
  </si>
  <si>
    <t>ed9ec02e-fa52-4865-a8c4-2606b640e6e4</t>
  </si>
  <si>
    <t>b88bcee7-3d22-4046-8a2c-0b179d9db162</t>
  </si>
  <si>
    <t>26-10-2025 16:00</t>
  </si>
  <si>
    <t>2025-10-26</t>
  </si>
  <si>
    <t>e835833c-0d14-41e4-83fb-9c3a20ad8c2a</t>
  </si>
  <si>
    <t>b326b2e9-61c5-4809-b09b-9e66f6d5be4c</t>
  </si>
  <si>
    <t>674ca225-0c10-4c24-86a3-2f8f9422e038</t>
  </si>
  <si>
    <t>965c28e2-df4d-4e73-8962-d1016e9431d6</t>
  </si>
  <si>
    <t>dfa44298-71fa-4b39-92de-4ccb5f5ce04c</t>
  </si>
  <si>
    <t>58d4683e-f722-4762-a6d9-72f98bb32e5f</t>
  </si>
  <si>
    <t>8d6d0b0a-1665-40e7-8ddd-3a54f33f5762</t>
  </si>
  <si>
    <t>e4fa4f0f-ef27-42f2-865d-67e4c7ebc63c</t>
  </si>
  <si>
    <t>1138523b-2378-42c0-9d4a-7ffb7d22a141</t>
  </si>
  <si>
    <t>80ef0ae7-06df-457f-8ff7-4e845a9048aa</t>
  </si>
  <si>
    <t>d8f02e4b-53c4-4d15-aef3-207929a44d48</t>
  </si>
  <si>
    <t>80786dbb-8aca-4287-b212-dba2274d6ea6</t>
  </si>
  <si>
    <t>28-10-2025 16:00</t>
  </si>
  <si>
    <t>2025-10-28</t>
  </si>
  <si>
    <t>332f35ac-3517-477d-ac19-c5cd4682c849</t>
  </si>
  <si>
    <t>a31dcff5-b0d8-440e-bd6b-be12563b1f56</t>
  </si>
  <si>
    <t>61ebc10a-6396-40e2-abdd-442f417f2f82</t>
  </si>
  <si>
    <t>759a0936-5f0f-4af7-8931-205b88e50c25</t>
  </si>
  <si>
    <t>bc830524-3d90-4089-a202-ea6bbbd57062</t>
  </si>
  <si>
    <t>f3cb82a4-8959-421e-97cb-6ca2aeb80535</t>
  </si>
  <si>
    <t>3b6793f7-0f0a-40ab-a39d-e6bad8814629</t>
  </si>
  <si>
    <t>30-10-2025 16:00</t>
  </si>
  <si>
    <t>2025-10-30</t>
  </si>
  <si>
    <t>c22eafec-b26c-40cc-8c36-954915284d4f</t>
  </si>
  <si>
    <t>2e733e67-2ea4-4145-afae-1b019f9b6e2a</t>
  </si>
  <si>
    <t>39c1f734-f5b3-476e-bc26-77d41e70e6dc</t>
  </si>
  <si>
    <t>c2b72f07-c353-4a3d-b320-546c83fe330c</t>
  </si>
  <si>
    <t>5abbed67-e2c6-4f26-8610-1a9d99b9354a</t>
  </si>
  <si>
    <t>15b52097-b7f8-49a5-8751-890b8d39b116</t>
  </si>
  <si>
    <t>8dcd5fd8-38ac-469d-a155-e229dcb09949</t>
  </si>
  <si>
    <t>2d328fe3-7e7f-4f80-9000-ecc4e19bfe51</t>
  </si>
  <si>
    <t>c3ebebeb-862d-4543-aebb-bf2a42e987ed</t>
  </si>
  <si>
    <t>5a71600a-cb04-4b3e-81a3-19ce53bc0667</t>
  </si>
  <si>
    <t>17-11-2025 18:32</t>
  </si>
  <si>
    <t>2025-11-17</t>
  </si>
  <si>
    <t>17:32:39</t>
  </si>
  <si>
    <t>9e27928d-a3b2-4095-8eb9-56c80bb2d462</t>
  </si>
  <si>
    <t>17-11-2025 18:40</t>
  </si>
  <si>
    <t>17:40:56</t>
  </si>
  <si>
    <t>18cc549d-036e-4829-a41e-30c7f8bbb850</t>
  </si>
  <si>
    <t>17-11-2025 18:55</t>
  </si>
  <si>
    <t>17:55:21</t>
  </si>
  <si>
    <t>cf24b1e4-69e7-4fbd-9fd8-f22a2e9279bb</t>
  </si>
  <si>
    <t>17-11-2025 19:06</t>
  </si>
  <si>
    <t>18:06:50</t>
  </si>
  <si>
    <t>0122f5da-ec79-49b2-a985-1d817be3584a</t>
  </si>
  <si>
    <t>17-11-2025 19:11</t>
  </si>
  <si>
    <t>18:11:56</t>
  </si>
  <si>
    <t>1ab4d4a9-e329-4d29-86b2-dafd194ca8d0</t>
  </si>
  <si>
    <t>17-11-2025 19:13</t>
  </si>
  <si>
    <t>18:13:07</t>
  </si>
  <si>
    <t>d24c39e9-5b1c-4847-9333-8021d5d5233e</t>
  </si>
  <si>
    <t>17-11-2025 19:20</t>
  </si>
  <si>
    <t>18:20:00</t>
  </si>
  <si>
    <t>d35df0cf-c25f-41f5-8905-5d8322a3f171</t>
  </si>
  <si>
    <t>18:20:26</t>
  </si>
  <si>
    <t>3ebe3569-0a98-4cb4-b856-f9fb80c1c885</t>
  </si>
  <si>
    <t>17-11-2025 19:27</t>
  </si>
  <si>
    <t>18:27:28</t>
  </si>
  <si>
    <t>9ddd6352-5666-4821-8ea9-5f5771f41530</t>
  </si>
  <si>
    <t>20-11-2025 20:06</t>
  </si>
  <si>
    <t>2025-11-20</t>
  </si>
  <si>
    <t>19:06:38</t>
  </si>
  <si>
    <t>c7978eef-0e45-4ddb-8719-ff4da1de95b0</t>
  </si>
  <si>
    <t>20-11-2025 21:34</t>
  </si>
  <si>
    <t>20:34:51</t>
  </si>
  <si>
    <t>6549e00b-e7d6-40b0-9f3a-4ee052bc38d9</t>
  </si>
  <si>
    <t>20-11-2025 22:43</t>
  </si>
  <si>
    <t>21:43:06</t>
  </si>
  <si>
    <t>f66b0364-4376-44dc-9ac7-3bf4aca5d3da</t>
  </si>
  <si>
    <t>21:43:14</t>
  </si>
  <si>
    <t>cb42f91b-05bb-47ed-969e-f54226132ffe</t>
  </si>
  <si>
    <t>22-11-2025 15:22</t>
  </si>
  <si>
    <t>2025-11-22</t>
  </si>
  <si>
    <t>14:22:13</t>
  </si>
  <si>
    <t>21ca1e70-6734-49cd-84bf-8dee0641a03e</t>
  </si>
  <si>
    <t>22-11-2025 15:30</t>
  </si>
  <si>
    <t>14:30:21</t>
  </si>
  <si>
    <t>70fd3cbe-f61b-488c-8517-904b9f3154ae</t>
  </si>
  <si>
    <t>22-11-2025 15:39</t>
  </si>
  <si>
    <t>14:39:26</t>
  </si>
  <si>
    <t>f0040f60-1ee1-4184-930e-9b82bc6a3aa1</t>
  </si>
  <si>
    <t>22-11-2025 15:57</t>
  </si>
  <si>
    <t>14:57:53</t>
  </si>
  <si>
    <t>cf920b8d-767b-42ac-9d28-7e5fe9a4a141</t>
  </si>
  <si>
    <t>22-11-2025 16:13</t>
  </si>
  <si>
    <t>15:13:05</t>
  </si>
  <si>
    <t>dac38d63-2c3c-48d7-a4d8-1cc3c19db7eb</t>
  </si>
  <si>
    <t>22-11-2025 16:27</t>
  </si>
  <si>
    <t>15:27:47</t>
  </si>
  <si>
    <t>12c4c8bc-5fc6-4901-b112-0b7736badf14</t>
  </si>
  <si>
    <t>22-11-2025 16:44</t>
  </si>
  <si>
    <t>15:44:44</t>
  </si>
  <si>
    <t>1fd24337-d344-4965-b274-c0904790e86f</t>
  </si>
  <si>
    <t>22-11-2025 17:44</t>
  </si>
  <si>
    <t>16:44:35</t>
  </si>
  <si>
    <t>6eaf009c-050f-406a-863d-089da4c429c7</t>
  </si>
  <si>
    <t>24-11-2025 22:12</t>
  </si>
  <si>
    <t>2025-11-24</t>
  </si>
  <si>
    <t>21:12:43</t>
  </si>
  <si>
    <t>8dee0584-3ac4-4213-b1d6-0323a2f9990c</t>
  </si>
  <si>
    <t>24-11-2025 22:13</t>
  </si>
  <si>
    <t>21:13:02</t>
  </si>
  <si>
    <t>fd083d1b-3557-4ed7-893e-ab2f73266084</t>
  </si>
  <si>
    <t>24-11-2025 22:21</t>
  </si>
  <si>
    <t>21:21:05</t>
  </si>
  <si>
    <t>992bf010-cd82-43b1-9e9f-797797e6e089</t>
  </si>
  <si>
    <t>26-11-2025 18:46</t>
  </si>
  <si>
    <t>2025-11-26</t>
  </si>
  <si>
    <t>17:46:02</t>
  </si>
  <si>
    <t>dc745ee3-60e1-4ca3-84d2-f071474bb1ee</t>
  </si>
  <si>
    <t>26-11-2025 18:47</t>
  </si>
  <si>
    <t>17:47:01</t>
  </si>
  <si>
    <t>76c61775-349a-4fc8-a57f-d148f3cea1bd</t>
  </si>
  <si>
    <t>17:47:05</t>
  </si>
  <si>
    <t>45f0ca52-bf64-4134-a9bf-fd129a8d74a5</t>
  </si>
  <si>
    <t>26-11-2025 19:00</t>
  </si>
  <si>
    <t>18:00:08</t>
  </si>
  <si>
    <t>a6379af4-f38e-4055-8511-8baadb9ab613</t>
  </si>
  <si>
    <t>26-11-2025 19:16</t>
  </si>
  <si>
    <t>18:16:26</t>
  </si>
  <si>
    <t>c803f36d-cc36-4dbf-bea7-987a79a22733</t>
  </si>
  <si>
    <t>26-11-2025 19:26</t>
  </si>
  <si>
    <t>18:26:24</t>
  </si>
  <si>
    <t>fef56731-9082-49c7-a948-3d36c4b9ebc8</t>
  </si>
  <si>
    <t>26-11-2025 19:34</t>
  </si>
  <si>
    <t>18:34:44</t>
  </si>
  <si>
    <t>531029ad-0032-4b1c-8d15-5b66406185d8</t>
  </si>
  <si>
    <t>26-11-2025 19:44</t>
  </si>
  <si>
    <t>18:44:14</t>
  </si>
  <si>
    <t>32f61ff3-86cd-4eb0-9305-85ae0e87ac24</t>
  </si>
  <si>
    <t>18:44:55</t>
  </si>
  <si>
    <t>35ef12fa-1652-4252-857e-da264b0f90a6</t>
  </si>
  <si>
    <t>26-11-2025 20:05</t>
  </si>
  <si>
    <t>19:05:04</t>
  </si>
  <si>
    <t>31b550d1-a311-43c4-9a6a-017fa20a84d0</t>
  </si>
  <si>
    <t>19:05:46</t>
  </si>
  <si>
    <t>18866d20-d290-4109-803d-c0951c9b9fc9</t>
  </si>
  <si>
    <t>28-11-2025 18:37</t>
  </si>
  <si>
    <t>2025-11-28</t>
  </si>
  <si>
    <t>17:37:27</t>
  </si>
  <si>
    <t>bbe40a34-c635-4c59-8e21-7f5673cfc3a9</t>
  </si>
  <si>
    <t>28-11-2025 18:43</t>
  </si>
  <si>
    <t>17:43:18</t>
  </si>
  <si>
    <t>a7f0c1ea-2ff7-43ad-b9af-cbee00027d66</t>
  </si>
  <si>
    <t>28-11-2025 18:52</t>
  </si>
  <si>
    <t>17:52:37</t>
  </si>
  <si>
    <t>f70a31e1-494b-4069-9140-1c823a38b149</t>
  </si>
  <si>
    <t>28-11-2025 19:03</t>
  </si>
  <si>
    <t>18:03:05</t>
  </si>
  <si>
    <t>90fa907f-5a5a-45b6-b998-6c4101090122</t>
  </si>
  <si>
    <t>28-11-2025 19:07</t>
  </si>
  <si>
    <t>18:07:13</t>
  </si>
  <si>
    <t>23e6e769-c058-4e8a-8c2d-20c649160b2f</t>
  </si>
  <si>
    <t>28-11-2025 19:14</t>
  </si>
  <si>
    <t>18:14:01</t>
  </si>
  <si>
    <t>cb22efda-6c60-4ede-9380-5a6044bba6e3</t>
  </si>
  <si>
    <t>28-11-2025 19:28</t>
  </si>
  <si>
    <t>18:28:14</t>
  </si>
  <si>
    <t>c94d3744-f928-4611-975e-c2469ee25509</t>
  </si>
  <si>
    <t>28-11-2025 19:38</t>
  </si>
  <si>
    <t>18:38:43</t>
  </si>
  <si>
    <t>0070e368-b98a-44cc-9cdc-b23463f67505</t>
  </si>
  <si>
    <t>29-11-2025 02:05</t>
  </si>
  <si>
    <t>2025-11-29</t>
  </si>
  <si>
    <t>01:05:28</t>
  </si>
  <si>
    <t>0e43ea5b-80f1-4893-ac3b-0b606f0f6b6e</t>
  </si>
  <si>
    <t>01:05:37</t>
  </si>
  <si>
    <t>9d0cef8f-5ab9-4326-90f2-4f88322c57e9</t>
  </si>
  <si>
    <t>02-12-2025 18:35</t>
  </si>
  <si>
    <t>2025-12-02</t>
  </si>
  <si>
    <t>17:35:42</t>
  </si>
  <si>
    <t>87d3df05-d6ce-498b-805a-3cedffdfd503</t>
  </si>
  <si>
    <t>02-12-2025 18:39</t>
  </si>
  <si>
    <t>17:39:01</t>
  </si>
  <si>
    <t>71c72410-8082-4233-9676-14cb5cb4cf76</t>
  </si>
  <si>
    <t>02-12-2025 18:45</t>
  </si>
  <si>
    <t>17:45:14</t>
  </si>
  <si>
    <t>ab8e5fc5-9256-41be-925e-93cf5d01abfd</t>
  </si>
  <si>
    <t>02-12-2025 18:56</t>
  </si>
  <si>
    <t>17:56:48</t>
  </si>
  <si>
    <t>32d02cba-67c1-4b55-894c-048e8d2644b3</t>
  </si>
  <si>
    <t>02-12-2025 18:57</t>
  </si>
  <si>
    <t>17:57:00</t>
  </si>
  <si>
    <t>f2e35220-4856-4e9a-8d04-406237db9d8b</t>
  </si>
  <si>
    <t>02-12-2025 19:04</t>
  </si>
  <si>
    <t>18:04:44</t>
  </si>
  <si>
    <t>3d8f84ea-ecbe-40d3-a092-2e1cfb6bc2c8</t>
  </si>
  <si>
    <t>18:04:53</t>
  </si>
  <si>
    <t>0fb4f4f8-4b24-45e8-8776-1d7ebbedf0fe</t>
  </si>
  <si>
    <t>02-12-2025 19:14</t>
  </si>
  <si>
    <t>18:14:22</t>
  </si>
  <si>
    <t>7f726de1-b1ce-44bb-8c05-ab8d528c56ed</t>
  </si>
  <si>
    <t>02-12-2025 19:23</t>
  </si>
  <si>
    <t>18:23:26</t>
  </si>
  <si>
    <t>fa18fdba-508d-4e63-a2be-0340f8ebced6</t>
  </si>
  <si>
    <t>04-12-2025 21:18</t>
  </si>
  <si>
    <t>2025-12-04</t>
  </si>
  <si>
    <t>20:18:56</t>
  </si>
  <si>
    <t>6a0b3c31-a0f9-448e-92ba-bd7700965c16</t>
  </si>
  <si>
    <t>04-12-2025 22:02</t>
  </si>
  <si>
    <t>21:02:58</t>
  </si>
  <si>
    <t>2439508d-ee33-43f2-8f14-067de6b65ae9</t>
  </si>
  <si>
    <t>04-12-2025 22:03</t>
  </si>
  <si>
    <t>21:03:04</t>
  </si>
  <si>
    <t>240a6baa-5a42-4c3b-b714-0311ead24982</t>
  </si>
  <si>
    <t>04-12-2025 22:36</t>
  </si>
  <si>
    <t>21:36:28</t>
  </si>
  <si>
    <t>2a085c77-2f49-4455-836e-c979b4aff322</t>
  </si>
  <si>
    <t>21:36:45</t>
  </si>
  <si>
    <t>1d84d0ec-fb7b-408a-9e44-e21df28e2b85</t>
  </si>
  <si>
    <t>11-12-2025 18:37</t>
  </si>
  <si>
    <t>2025-12-11</t>
  </si>
  <si>
    <t>17:37:03</t>
  </si>
  <si>
    <t>bafc4972-79f2-4709-ad1f-22a048df7452</t>
  </si>
  <si>
    <t>11-12-2025 18:42</t>
  </si>
  <si>
    <t>17:42:04</t>
  </si>
  <si>
    <t>d50c8b60-c86a-4f7c-bd65-6b5002295647</t>
  </si>
  <si>
    <t>11-12-2025 18:51</t>
  </si>
  <si>
    <t>17:51:10</t>
  </si>
  <si>
    <t>e2842ced-7753-41e4-b235-157345f50d64</t>
  </si>
  <si>
    <t>17:51:31</t>
  </si>
  <si>
    <t>82262c58-50c7-4a72-8897-ff8e916f89d4</t>
  </si>
  <si>
    <t>11-12-2025 19:07</t>
  </si>
  <si>
    <t>18:07:24</t>
  </si>
  <si>
    <t>5192555d-cdc0-4f01-baa0-6dbf73b3427e</t>
  </si>
  <si>
    <t>18:07:33</t>
  </si>
  <si>
    <t>cec59220-0da9-453a-a455-8ff01143f8b4</t>
  </si>
  <si>
    <t>11-12-2025 19:14</t>
  </si>
  <si>
    <t>18:14:35</t>
  </si>
  <si>
    <t>a3458330-eb7b-4739-8f89-6b5d0d30bfd0</t>
  </si>
  <si>
    <t>11-12-2025 19:15</t>
  </si>
  <si>
    <t>18:15:04</t>
  </si>
  <si>
    <t>a45fec7b-0918-4d0b-83fa-7424d67d692e</t>
  </si>
  <si>
    <t>11-12-2025 19:20</t>
  </si>
  <si>
    <t>18:20:59</t>
  </si>
  <si>
    <t>777934a8-55ac-42ff-9b4d-380a95368717</t>
  </si>
  <si>
    <t>11-12-2025 19:21</t>
  </si>
  <si>
    <t>18:21:49</t>
  </si>
  <si>
    <t>8e817220-88bc-4001-a08c-f859bd2ea2a9</t>
  </si>
  <si>
    <t>11-12-2025 19:31</t>
  </si>
  <si>
    <t>18:31:25</t>
  </si>
  <si>
    <t>dec3c2b7-dac0-41db-a664-400294918222</t>
  </si>
  <si>
    <t>18:31:54</t>
  </si>
  <si>
    <t>ed8b1cef-a1a3-410b-9c13-585040bc7caa</t>
  </si>
  <si>
    <t>14-12-2025 12:53</t>
  </si>
  <si>
    <t>2025-12-14</t>
  </si>
  <si>
    <t>11:53:49</t>
  </si>
  <si>
    <t>edcb1b6c-6275-467b-a6da-89ffc7cb3cb6</t>
  </si>
  <si>
    <t>14-12-2025 12:57</t>
  </si>
  <si>
    <t>11:57:34</t>
  </si>
  <si>
    <t>61df43ac-b687-47ca-9b80-01752a14a243</t>
  </si>
  <si>
    <t>14-12-2025 13:17</t>
  </si>
  <si>
    <t>12:17:40</t>
  </si>
  <si>
    <t>35dcd8bf-d437-412d-920d-1316add2dcfc</t>
  </si>
  <si>
    <t>14-12-2025 13:53</t>
  </si>
  <si>
    <t>12:53:38</t>
  </si>
  <si>
    <t>5fc0bd8e-59d7-44d5-a9fb-bf8b34705ae1</t>
  </si>
  <si>
    <t>14-12-2025 14:02</t>
  </si>
  <si>
    <t>13:02:45</t>
  </si>
  <si>
    <t>3b64d0b8-ef9e-4b27-b6d9-751d7e409f11</t>
  </si>
  <si>
    <t>13:02:51</t>
  </si>
  <si>
    <t>1b3a77e2-decd-4d7e-9f19-51c4d58dbfd4</t>
  </si>
  <si>
    <t>16-12-2025 21:12</t>
  </si>
  <si>
    <t>2025-12-16</t>
  </si>
  <si>
    <t>20:12:03</t>
  </si>
  <si>
    <t>3a15aa7e-faf4-4155-8653-abc76f9b7b1d</t>
  </si>
  <si>
    <t>16-12-2025 21:37</t>
  </si>
  <si>
    <t>20:37:38</t>
  </si>
  <si>
    <t>e295e1b8-c038-484a-a696-de489371d5fa</t>
  </si>
  <si>
    <t>16-12-2025 22:21</t>
  </si>
  <si>
    <t>21:21:53</t>
  </si>
  <si>
    <t>c4c9bad4-1bbb-41f5-94e4-d6928242d259</t>
  </si>
  <si>
    <t>21:21:57</t>
  </si>
  <si>
    <t>fb85e5c7-b459-467c-85b1-994efe1a10e9</t>
  </si>
  <si>
    <t>19-12-2025 17:48</t>
  </si>
  <si>
    <t>2025-12-19</t>
  </si>
  <si>
    <t>16:48:30</t>
  </si>
  <si>
    <t>aebcc396-af6c-4d8c-85f3-20cb01adab72</t>
  </si>
  <si>
    <t>19-12-2025 17:58</t>
  </si>
  <si>
    <t>16:58:23</t>
  </si>
  <si>
    <t>25f4280c-349f-429b-abf3-2a28260573e6</t>
  </si>
  <si>
    <t>19-12-2025 17:59</t>
  </si>
  <si>
    <t>16:59:56</t>
  </si>
  <si>
    <t>fc30dfbd-1957-49b2-9562-05c25a13e78c</t>
  </si>
  <si>
    <t>19-12-2025 18:09</t>
  </si>
  <si>
    <t>17:09:39</t>
  </si>
  <si>
    <t>e1d4191b-08c7-4e70-b95f-9887aa74be42</t>
  </si>
  <si>
    <t>17:09:55</t>
  </si>
  <si>
    <t>3b16a63e-dd46-4294-ae23-9d1cd6235db8</t>
  </si>
  <si>
    <t>19-12-2025 18:19</t>
  </si>
  <si>
    <t>17:19:28</t>
  </si>
  <si>
    <t>7dd14cd3-40e0-4b29-a5c3-c314a466124a</t>
  </si>
  <si>
    <t>19-12-2025 18:23</t>
  </si>
  <si>
    <t>17:23:36</t>
  </si>
  <si>
    <t>665627f1-00d0-43ac-a604-6658bfef9438</t>
  </si>
  <si>
    <t>19-12-2025 18:32</t>
  </si>
  <si>
    <t>17:32:26</t>
  </si>
  <si>
    <t>83a99bfa-eb0b-4a85-be59-f84706e7dbb5</t>
  </si>
  <si>
    <t>19-12-2025 18:39</t>
  </si>
  <si>
    <t>17:39:29</t>
  </si>
  <si>
    <t>4ebd76a9-858d-4cb4-94da-652f28b99462</t>
  </si>
  <si>
    <t>19-12-2025 18:45</t>
  </si>
  <si>
    <t>17:45:42</t>
  </si>
  <si>
    <t>5fab3035-f648-4e72-8f90-287dd8a8e149</t>
  </si>
  <si>
    <t>19-12-2025 18:55</t>
  </si>
  <si>
    <t>17:55:55</t>
  </si>
  <si>
    <t>08c368a6-c5a4-4b95-9e33-c7cbcd4047e2</t>
  </si>
  <si>
    <t>19-12-2025 19:07</t>
  </si>
  <si>
    <t>18:07:47</t>
  </si>
  <si>
    <t>41be2439-7b4e-40d1-b1a4-015833c7a9d5</t>
  </si>
  <si>
    <t>21-12-2025 18:23</t>
  </si>
  <si>
    <t>2025-12-21</t>
  </si>
  <si>
    <t>17:23:08</t>
  </si>
  <si>
    <t>5b18030b-6a8f-4624-83e7-91bb36123c43</t>
  </si>
  <si>
    <t>17:23:16</t>
  </si>
  <si>
    <t>abed9845-15d9-4057-87ac-a1d248811b53</t>
  </si>
  <si>
    <t>21-12-2025 18:34</t>
  </si>
  <si>
    <t>17:34:34</t>
  </si>
  <si>
    <t>552b8ee9-2d63-4bfb-8a34-9cfe82686c36</t>
  </si>
  <si>
    <t>21-12-2025 18:45</t>
  </si>
  <si>
    <t>17:45:27</t>
  </si>
  <si>
    <t>ae09a0ec-119a-41a1-bfce-6e555fa9c8d3</t>
  </si>
  <si>
    <t>21-12-2025 18:56</t>
  </si>
  <si>
    <t>17:56:03</t>
  </si>
  <si>
    <t>c259029d-7bd3-4984-8aef-e9b8514e1a65</t>
  </si>
  <si>
    <t>17:56:17</t>
  </si>
  <si>
    <t>54c7d4d3-8302-4185-b592-16d213451027</t>
  </si>
  <si>
    <t>17:56:29</t>
  </si>
  <si>
    <t>634b9f23-487e-4e90-97a0-62ee2a341b4d</t>
  </si>
  <si>
    <t>21-12-2025 19:08</t>
  </si>
  <si>
    <t>18:08:02</t>
  </si>
  <si>
    <t>4d4bc8e0-afb3-490e-8919-4872f4f33eec</t>
  </si>
  <si>
    <t>23-12-2025 14:38</t>
  </si>
  <si>
    <t>2025-12-23</t>
  </si>
  <si>
    <t>13:38:30</t>
  </si>
  <si>
    <t>68ba26a7-f5f7-4176-a731-71c9dd24e9d7</t>
  </si>
  <si>
    <t>13:38:40</t>
  </si>
  <si>
    <t>8230883f-eace-4d6b-a1b1-b94248211a9d</t>
  </si>
  <si>
    <t>23-12-2025 15:33</t>
  </si>
  <si>
    <t>14:33:31</t>
  </si>
  <si>
    <t>f61a21eb-6555-47bb-a518-2016b3d17c72</t>
  </si>
  <si>
    <t>14:33:43</t>
  </si>
  <si>
    <t>a4c66c2a-53e1-413b-9adb-beea6d517893</t>
  </si>
  <si>
    <t>25-12-2025 16:36</t>
  </si>
  <si>
    <t>2025-12-25</t>
  </si>
  <si>
    <t>15:36:54</t>
  </si>
  <si>
    <t>af3a818b-b7c5-40cd-9081-d3f577ba8985</t>
  </si>
  <si>
    <t>25-12-2025 16:55</t>
  </si>
  <si>
    <t>15:55:48</t>
  </si>
  <si>
    <t>b6c96af4-3083-4272-b1f1-bb40b7196639</t>
  </si>
  <si>
    <t>25-12-2025 17:09</t>
  </si>
  <si>
    <t>16:09:54</t>
  </si>
  <si>
    <t>492efefd-cd5a-47e1-af7c-50db4cb841e4</t>
  </si>
  <si>
    <t>25-12-2025 17:15</t>
  </si>
  <si>
    <t>16:15:24</t>
  </si>
  <si>
    <t>85f5c63c-d9a9-49e7-88ab-de24c4786461</t>
  </si>
  <si>
    <t>25-12-2025 17:52</t>
  </si>
  <si>
    <t>16:52:41</t>
  </si>
  <si>
    <t>331f1232-c68e-412f-816c-6bb7a19bc78a</t>
  </si>
  <si>
    <t>16:52:49</t>
  </si>
  <si>
    <t>fd2f10a7-2cd7-4ff1-88ab-95b3fa5ee772</t>
  </si>
  <si>
    <t>28-12-2025 23:27</t>
  </si>
  <si>
    <t>2025-12-28</t>
  </si>
  <si>
    <t>22:27:50</t>
  </si>
  <si>
    <t>67ec06c8-9619-4e2c-86fd-b96d8f110644</t>
  </si>
  <si>
    <t>28-12-2025 23:28</t>
  </si>
  <si>
    <t>22:28:08</t>
  </si>
  <si>
    <t>8fd404b8-24d0-4ded-b224-3db6caca2797</t>
  </si>
  <si>
    <t>22:28:42</t>
  </si>
  <si>
    <t>2e69a7dd-51fb-4f37-a2d5-806100d1e657</t>
  </si>
  <si>
    <t>22:28:54</t>
  </si>
  <si>
    <t>60f2f986-7c5e-49ed-8a97-762697c4450a</t>
  </si>
  <si>
    <t>30-12-2025 14:12</t>
  </si>
  <si>
    <t>2025-12-30</t>
  </si>
  <si>
    <t>13:12:53</t>
  </si>
  <si>
    <t>43aa9260-3cf3-4708-b531-4781f7d5c0e7</t>
  </si>
  <si>
    <t>30-12-2025 14:36</t>
  </si>
  <si>
    <t>13:36:37</t>
  </si>
  <si>
    <t>25190351-f644-4673-8220-a8f42cf730dc</t>
  </si>
  <si>
    <t>30-12-2025 14:45</t>
  </si>
  <si>
    <t>13:45:16</t>
  </si>
  <si>
    <t>0af0b627-3e67-4a02-bc0d-aa0586bb87c0</t>
  </si>
  <si>
    <t>30-12-2025 15:09</t>
  </si>
  <si>
    <t>14:09:20</t>
  </si>
  <si>
    <t>310c99fc-9a02-4d20-a5f0-691c2b29f391</t>
  </si>
  <si>
    <t>30-12-2025 15:32</t>
  </si>
  <si>
    <t>14:32:29</t>
  </si>
  <si>
    <t>06b6949e-8b2d-46ab-8776-0b1a98a6fb55</t>
  </si>
  <si>
    <t>30-12-2025 15:49</t>
  </si>
  <si>
    <t>14:49:07</t>
  </si>
  <si>
    <t>e55e74e7-824b-4150-93e7-b983060f3149</t>
  </si>
  <si>
    <t>30-12-2025 15:50</t>
  </si>
  <si>
    <t>14:50:08</t>
  </si>
  <si>
    <t>705e0557-4da3-44a1-8171-7f61a49ecc3a</t>
  </si>
  <si>
    <t>30-12-2025 16:11</t>
  </si>
  <si>
    <t>15:11:10</t>
  </si>
  <si>
    <t>3afcf1ad-48f0-44c8-b75b-2bfc8f06e02b</t>
  </si>
  <si>
    <t>30-12-2025 16:29</t>
  </si>
  <si>
    <t>15:29:12</t>
  </si>
  <si>
    <t>5627e728-d959-49f9-ba8d-671b068a0142</t>
  </si>
  <si>
    <t>30-12-2025 17:06</t>
  </si>
  <si>
    <t>16:06:04</t>
  </si>
  <si>
    <t>7cc9be98-0620-424c-a13d-58fb042236c1</t>
  </si>
  <si>
    <t>16:06:46</t>
  </si>
  <si>
    <t>9169f0aa-6b62-4edf-b0fa-e63191360981</t>
  </si>
  <si>
    <t>30-12-2025 17:18</t>
  </si>
  <si>
    <t>16:18:29</t>
  </si>
  <si>
    <t>c4c46bf7-0459-4223-b9f3-03b24a36ef8a</t>
  </si>
  <si>
    <t>16:18:41</t>
  </si>
  <si>
    <t>500011a4-13f8-452b-95f2-8677ed3a960d</t>
  </si>
  <si>
    <t>02-01-2026 16:55</t>
  </si>
  <si>
    <t>15:55:50</t>
  </si>
  <si>
    <t>76f68a4c-1962-43e4-8c0f-b0f72c8b8965</t>
  </si>
  <si>
    <t>02-01-2026 16:56</t>
  </si>
  <si>
    <t>15:56:08</t>
  </si>
  <si>
    <t>c4ddcc8c-1601-45da-89c3-726b18611aef</t>
  </si>
  <si>
    <t>02-01-2026 17:06</t>
  </si>
  <si>
    <t>16:06:48</t>
  </si>
  <si>
    <t>4c0933df-5d8c-4b4d-8642-6554a3d86c84</t>
  </si>
  <si>
    <t>02-01-2026 17:16</t>
  </si>
  <si>
    <t>16:16:17</t>
  </si>
  <si>
    <t>bb5d275e-a045-4176-906b-1037ebbedd4b</t>
  </si>
  <si>
    <t>02-01-2026 17:26</t>
  </si>
  <si>
    <t>16:26:17</t>
  </si>
  <si>
    <t>119bfa2d-6e2d-4bc6-a04f-ab498a7be103</t>
  </si>
  <si>
    <t>02-01-2026 17:30</t>
  </si>
  <si>
    <t>16:30:55</t>
  </si>
  <si>
    <t>887cc503-8989-45a7-9bf8-67677f0ed522</t>
  </si>
  <si>
    <t>05-01-2026 18:35</t>
  </si>
  <si>
    <t>2026-01-05</t>
  </si>
  <si>
    <t>17:35:49</t>
  </si>
  <si>
    <t>65d6c6ae-ac03-45ac-a1f1-b2e1dcae4da7</t>
  </si>
  <si>
    <t>05-01-2026 18:49</t>
  </si>
  <si>
    <t>17:49:55</t>
  </si>
  <si>
    <t>de22180b-44b3-445b-be62-3a2ceba19aab</t>
  </si>
  <si>
    <t>05-01-2026 18:50</t>
  </si>
  <si>
    <t>17:50:08</t>
  </si>
  <si>
    <t>f8fabdf3-30a6-421a-9c81-ee331b84fc21</t>
  </si>
  <si>
    <t>05-01-2026 18:55</t>
  </si>
  <si>
    <t>17:55:54</t>
  </si>
  <si>
    <t>87f31014-c817-4aed-a181-a11f0eaa88b5</t>
  </si>
  <si>
    <t>17:55:59</t>
  </si>
  <si>
    <t>5d328812-df22-47d2-b563-e06191dc612b</t>
  </si>
  <si>
    <t>05-01-2026 19:14</t>
  </si>
  <si>
    <t>18:14:02</t>
  </si>
  <si>
    <t>9a697b58-d71d-47a6-8da9-750451c86a65</t>
  </si>
  <si>
    <t>05-01-2026 19:20</t>
  </si>
  <si>
    <t>18:20:04</t>
  </si>
  <si>
    <t>2678f0a6-10f6-4379-ac80-32af1693e461</t>
  </si>
  <si>
    <t>09-01-2026 18:10</t>
  </si>
  <si>
    <t>17:10:56</t>
  </si>
  <si>
    <t>aadbafe7-cce9-4e8b-91af-a5d208014835</t>
  </si>
  <si>
    <t>09-01-2026 18:20</t>
  </si>
  <si>
    <t>17:20:02</t>
  </si>
  <si>
    <t>96db6e24-15e5-4b0a-b162-dafa6d9efdd2</t>
  </si>
  <si>
    <t>09-01-2026 18:30</t>
  </si>
  <si>
    <t>17:30:06</t>
  </si>
  <si>
    <t>b966780d-249f-4e68-91a7-1a889f89e1bb</t>
  </si>
  <si>
    <t>09-01-2026 18:33</t>
  </si>
  <si>
    <t>17:33:53</t>
  </si>
  <si>
    <t>a55d2dff-87ab-45a3-81ab-8bd1f2f44db9</t>
  </si>
  <si>
    <t>09-01-2026 18:39</t>
  </si>
  <si>
    <t>17:39:07</t>
  </si>
  <si>
    <t>04c8d732-a96b-4dfd-9a6e-d0e13c788b23</t>
  </si>
  <si>
    <t>09-01-2026 18:48</t>
  </si>
  <si>
    <t>17:48:14</t>
  </si>
  <si>
    <t>1ec76849-f1d2-4e0f-9b75-e8bf1cf3626a</t>
  </si>
  <si>
    <t>17:48:31</t>
  </si>
  <si>
    <t>c201675b-583c-4456-a8ef-dc938783c9f1</t>
  </si>
  <si>
    <t>09-01-2026 18:49</t>
  </si>
  <si>
    <t>17:49:02</t>
  </si>
  <si>
    <t>ad970b7c-ef42-48d7-b61a-d74fc1044d7a</t>
  </si>
  <si>
    <t>09-01-2026 19:00</t>
  </si>
  <si>
    <t>18:00:37</t>
  </si>
  <si>
    <t>c7faf5fd-785b-4927-ad8b-57c3dac432bb</t>
  </si>
  <si>
    <t>18:00:43</t>
  </si>
  <si>
    <t>1b0d0d66-30e2-42ff-a6fa-d04725b1a72d</t>
  </si>
  <si>
    <t>09-01-2026 19:20</t>
  </si>
  <si>
    <t>18:20:50</t>
  </si>
  <si>
    <t>53457e73-1b06-41e0-b533-7157abe65260</t>
  </si>
  <si>
    <t>09-01-2026 19:32</t>
  </si>
  <si>
    <t>18:32:17</t>
  </si>
  <si>
    <t>0d2a1984-628f-434b-8e84-9ef4e30ff9c3</t>
  </si>
  <si>
    <t>11-01-2026 13:45</t>
  </si>
  <si>
    <t>2026-01-11</t>
  </si>
  <si>
    <t>12:45:11</t>
  </si>
  <si>
    <t>27194fa8-b74c-497f-a878-6fecd7120f3c</t>
  </si>
  <si>
    <t>11-01-2026 14:11</t>
  </si>
  <si>
    <t>13:11:53</t>
  </si>
  <si>
    <t>6919b18e-316f-4209-96c0-8c8e67909fdd</t>
  </si>
  <si>
    <t>11-01-2026 14:24</t>
  </si>
  <si>
    <t>13:24:02</t>
  </si>
  <si>
    <t>a8cfe7be-b782-4726-bd7f-217e5c572560</t>
  </si>
  <si>
    <t>11-01-2026 14:37</t>
  </si>
  <si>
    <t>13:37:13</t>
  </si>
  <si>
    <t>49dde9e0-61a9-43c7-8e3b-1c3f4a6c4fb8</t>
  </si>
  <si>
    <t>11-01-2026 14:54</t>
  </si>
  <si>
    <t>13:54:12</t>
  </si>
  <si>
    <t>f2bd25e2-d8a3-4215-9589-39ecd295a26b</t>
  </si>
  <si>
    <t>11-01-2026 14:59</t>
  </si>
  <si>
    <t>13:59:17</t>
  </si>
  <si>
    <t>e553157e-1e85-40de-91b8-277943c63c39</t>
  </si>
  <si>
    <t>11-01-2026 15:07</t>
  </si>
  <si>
    <t>14:07:07</t>
  </si>
  <si>
    <t>477192d5-0bb8-47c5-a73a-1cd1b1ce11f0</t>
  </si>
  <si>
    <t>11-01-2026 15:21</t>
  </si>
  <si>
    <t>14:21:09</t>
  </si>
  <si>
    <t>99d2afa8-673b-43f1-80a6-298bc3401621</t>
  </si>
  <si>
    <t>14:21:14</t>
  </si>
  <si>
    <t>ab3fa383-4472-4f32-8c37-07e6eb0619cb</t>
  </si>
  <si>
    <t>15-01-2026 18:29</t>
  </si>
  <si>
    <t>2026-01-15</t>
  </si>
  <si>
    <t>17:29:58</t>
  </si>
  <si>
    <t>df77b3c6-8fb0-4cee-9813-363e592b30b1</t>
  </si>
  <si>
    <t>15-01-2026 18:51</t>
  </si>
  <si>
    <t>17:51:29</t>
  </si>
  <si>
    <t>fc5a8be5-9425-443e-a76d-42abfce20e97</t>
  </si>
  <si>
    <t>15-01-2026 19:24</t>
  </si>
  <si>
    <t>18:24:10</t>
  </si>
  <si>
    <t>0dd80692-10f6-4b5f-b6eb-cb42a54e3850</t>
  </si>
  <si>
    <t>18:24:19</t>
  </si>
  <si>
    <t>475971d1-5bb3-42e7-bead-26939e7ffa87</t>
  </si>
  <si>
    <t>15-01-2026 19:40</t>
  </si>
  <si>
    <t>18:40:33</t>
  </si>
  <si>
    <t>0cd6d1cc-7439-42f0-9d88-8330bc16168f</t>
  </si>
  <si>
    <t>18:40:43</t>
  </si>
  <si>
    <t>c13ac29d-f1d5-4810-b39b-8f55fd709e54</t>
  </si>
  <si>
    <t>15-01-2026 19:41</t>
  </si>
  <si>
    <t>18:41:01</t>
  </si>
  <si>
    <t>3c077822-322d-4f60-8183-bb1622f8f572</t>
  </si>
  <si>
    <t>15-01-2026 19:46</t>
  </si>
  <si>
    <t>18:46:39</t>
  </si>
  <si>
    <t>257428a2-d154-4b62-b973-714dd130a6fb</t>
  </si>
  <si>
    <t>18-01-2026 21:30</t>
  </si>
  <si>
    <t>2026-01-18</t>
  </si>
  <si>
    <t>20:30:37</t>
  </si>
  <si>
    <t>19f0a1b0-7451-4667-8651-a1aa60556d6a</t>
  </si>
  <si>
    <t>18-01-2026 21:58</t>
  </si>
  <si>
    <t>20:58:37</t>
  </si>
  <si>
    <t>c6d008d3-f3a0-48b7-bb42-b6aceee69aad</t>
  </si>
  <si>
    <t>18-01-2026 22:17</t>
  </si>
  <si>
    <t>21:17:37</t>
  </si>
  <si>
    <t>02b92d3b-ef63-4d45-a416-6ebee1aca7ce</t>
  </si>
  <si>
    <t>18-01-2026 22:22</t>
  </si>
  <si>
    <t>21:22:37</t>
  </si>
  <si>
    <t>2d9084b1-8ada-4880-997c-6d2bfa2fdbb6</t>
  </si>
  <si>
    <t>18-01-2026 22:35</t>
  </si>
  <si>
    <t>21:35:13</t>
  </si>
  <si>
    <t>8e2cb298-6797-497c-b461-f0fe11801990</t>
  </si>
  <si>
    <t>21:35:20</t>
  </si>
  <si>
    <t>03ff7c77-232b-4fb8-8c3d-a03f8aa20d0d</t>
  </si>
  <si>
    <t>18-01-2026 22:42</t>
  </si>
  <si>
    <t>21:42:01</t>
  </si>
  <si>
    <t>f20d92a2-f8f9-47bf-8cd3-bee10306e6e7</t>
  </si>
  <si>
    <t>18-01-2026 22:45</t>
  </si>
  <si>
    <t>21:45:21</t>
  </si>
  <si>
    <t>3333edee-1668-4170-bc2f-a2f4b731856a</t>
  </si>
  <si>
    <t>18-01-2026 22:46</t>
  </si>
  <si>
    <t>21:46:20</t>
  </si>
  <si>
    <t>60148edd-d585-4a4e-a44d-5cdd2d1bedbe</t>
  </si>
  <si>
    <t>22-01-2026 00:35</t>
  </si>
  <si>
    <t>23:35:21</t>
  </si>
  <si>
    <t>0150ffc9-3465-4276-954c-26c1ced97e53</t>
  </si>
  <si>
    <t>23:35:37</t>
  </si>
  <si>
    <t>bbcc33ce-76ea-432c-a7ad-00ca5032eae5</t>
  </si>
  <si>
    <t>23:35:49</t>
  </si>
  <si>
    <t>39816339-4648-416e-877c-a1f7d3ba853a</t>
  </si>
  <si>
    <t>22-01-2026 00:36</t>
  </si>
  <si>
    <t>23:36:08</t>
  </si>
  <si>
    <t>bae336a0-3f8d-43db-b5b1-eeeb3934df9a</t>
  </si>
  <si>
    <t>23:36:15</t>
  </si>
  <si>
    <t>9e65c0e4-14ff-40ee-a9c1-9d792a9eedad</t>
  </si>
  <si>
    <t>23:36:23</t>
  </si>
  <si>
    <t>b6dd8030-c1b9-434b-890c-739375205976</t>
  </si>
  <si>
    <t>23:36:31</t>
  </si>
  <si>
    <t>171c7f38-5689-428c-ad09-109511743707</t>
  </si>
  <si>
    <t>25-01-2026 21:14</t>
  </si>
  <si>
    <t>2026-01-25</t>
  </si>
  <si>
    <t>20:14:32</t>
  </si>
  <si>
    <t>121b85a1-f104-4277-9566-c74389d728c1</t>
  </si>
  <si>
    <t>25-01-2026 21:42</t>
  </si>
  <si>
    <t>20:42:21</t>
  </si>
  <si>
    <t>e489d25b-cfc8-498f-adf6-549f600a641e</t>
  </si>
  <si>
    <t>20:42:46</t>
  </si>
  <si>
    <t>b16cfa29-260c-427e-84eb-4b89949fb4cd</t>
  </si>
  <si>
    <t>25-01-2026 21:56</t>
  </si>
  <si>
    <t>20:56:08</t>
  </si>
  <si>
    <t>464a352e-2c30-440e-916e-cc8071a0a4bc</t>
  </si>
  <si>
    <t>25-01-2026 22:07</t>
  </si>
  <si>
    <t>21:07:57</t>
  </si>
  <si>
    <t>a0b52629-3c76-406d-a294-5c4fef781d31</t>
  </si>
  <si>
    <t>25-01-2026 22:20</t>
  </si>
  <si>
    <t>21:20:13</t>
  </si>
  <si>
    <t>b0b23ab0-707b-40a9-8f7a-d4fbbfe0372e</t>
  </si>
  <si>
    <t>21:20:29</t>
  </si>
  <si>
    <t>59b21799-30c1-4e62-bcd1-a0d5adac6392</t>
  </si>
  <si>
    <t>25-01-2026 22:36</t>
  </si>
  <si>
    <t>21:36:26</t>
  </si>
  <si>
    <t>9d820374-1817-406a-bae9-ed409b80d5d0</t>
  </si>
  <si>
    <t>25-01-2026 22:45</t>
  </si>
  <si>
    <t>21:45:22</t>
  </si>
  <si>
    <t>78d3cb8c-6b13-4c1b-ada5-cf506add5705</t>
  </si>
  <si>
    <t>21:45:27</t>
  </si>
  <si>
    <t>2c3d8a8b-169d-4a52-8cbd-7c6cbdf70643</t>
  </si>
  <si>
    <t>25-01-2026 22:54</t>
  </si>
  <si>
    <t>21:54:52</t>
  </si>
  <si>
    <t>b9d20ea9-7fa3-4b0d-b0a4-408eecb41076</t>
  </si>
  <si>
    <t>28-01-2026 18:25</t>
  </si>
  <si>
    <t>17:25:27</t>
  </si>
  <si>
    <t>301a7e73-f4a7-4ad8-ab3a-969b201a04bf</t>
  </si>
  <si>
    <t>28-01-2026 18:31</t>
  </si>
  <si>
    <t>17:31:06</t>
  </si>
  <si>
    <t>003a1757-187b-4b2d-a79a-37a35f79ab28</t>
  </si>
  <si>
    <t>28-01-2026 18:38</t>
  </si>
  <si>
    <t>17:38:48</t>
  </si>
  <si>
    <t>4c79ebb4-69de-4267-89cf-b827cdb53c7d</t>
  </si>
  <si>
    <t>28-01-2026 18:59</t>
  </si>
  <si>
    <t>17:59:01</t>
  </si>
  <si>
    <t>039dac1f-438a-4232-baed-8e9617c0b9ec</t>
  </si>
  <si>
    <t>17:59:54</t>
  </si>
  <si>
    <t>e7058d92-79e7-4f40-a3b2-695a27ec279c</t>
  </si>
  <si>
    <t>28-01-2026 19:08</t>
  </si>
  <si>
    <t>18:08:57</t>
  </si>
  <si>
    <t>1586f566-eb8c-48d6-aeed-50e89f97c137</t>
  </si>
  <si>
    <t>28-01-2026 19:10</t>
  </si>
  <si>
    <t>18:10:02</t>
  </si>
  <si>
    <t>1d883815-8576-4828-ad6a-ca985f091274</t>
  </si>
  <si>
    <t>31-01-2026 17:29</t>
  </si>
  <si>
    <t>2026-01-31</t>
  </si>
  <si>
    <t>16:29:45</t>
  </si>
  <si>
    <t>ea523102-8688-46d0-b605-ea69fd8bdafc</t>
  </si>
  <si>
    <t>31-01-2026 17:37</t>
  </si>
  <si>
    <t>16:37:04</t>
  </si>
  <si>
    <t>5eb3eb06-149d-40bc-8820-3890e52ff63a</t>
  </si>
  <si>
    <t>31-01-2026 17:50</t>
  </si>
  <si>
    <t>16:50:58</t>
  </si>
  <si>
    <t>ac32ab41-5951-477c-94e7-7f6e72bf7a89</t>
  </si>
  <si>
    <t>31-01-2026 18:04</t>
  </si>
  <si>
    <t>17:04:55</t>
  </si>
  <si>
    <t>5edc6387-72c5-4afb-8116-7a2a6a788326</t>
  </si>
  <si>
    <t>31-01-2026 18:12</t>
  </si>
  <si>
    <t>17:12:19</t>
  </si>
  <si>
    <t>7d7e3e53-98cc-4483-ad2d-0401b0edc71a</t>
  </si>
  <si>
    <t>17:12:29</t>
  </si>
  <si>
    <t>bb6b0504-c78d-4c9a-8569-49a803f84b5f</t>
  </si>
  <si>
    <t>31-01-2026 18:22</t>
  </si>
  <si>
    <t>17:22:02</t>
  </si>
  <si>
    <t>e3e5b5f3-d973-42d4-8389-b21b4ccdb0de</t>
  </si>
  <si>
    <t>31-01-2026 18:39</t>
  </si>
  <si>
    <t>17:39:59</t>
  </si>
  <si>
    <t>c11bca69-d14d-4331-a992-2356c374cc5d</t>
  </si>
  <si>
    <t>31-01-2026 18:48</t>
  </si>
  <si>
    <t>17:48:33</t>
  </si>
  <si>
    <t>7149d015-5818-4070-8a39-056a1739c02c</t>
  </si>
  <si>
    <t>02-02-2026 18:28</t>
  </si>
  <si>
    <t>2026-02-02</t>
  </si>
  <si>
    <t>17:28:02</t>
  </si>
  <si>
    <t>5421b0c6-74b8-4c34-b64e-e81517dfee6e</t>
  </si>
  <si>
    <t>02-02-2026 18:42</t>
  </si>
  <si>
    <t>17:42:10</t>
  </si>
  <si>
    <t>11e49900-63c4-4619-8a38-5a8e3fd9201e</t>
  </si>
  <si>
    <t>17:42:33</t>
  </si>
  <si>
    <t>809f75bb-6b5c-43c5-aa9b-7064c2a6ae82</t>
  </si>
  <si>
    <t>02-02-2026 18:51</t>
  </si>
  <si>
    <t>17:51:27</t>
  </si>
  <si>
    <t>da5d352f-8dc5-4e29-9324-e54b9735f9c8</t>
  </si>
  <si>
    <t>02-02-2026 18:58</t>
  </si>
  <si>
    <t>17:58:03</t>
  </si>
  <si>
    <t>15822b27-7715-4b16-9952-51db2bb88c9a</t>
  </si>
  <si>
    <t>02-02-2026 19:06</t>
  </si>
  <si>
    <t>18:06:35</t>
  </si>
  <si>
    <t>542a086b-794a-48c9-b953-3ba3bc954fe0</t>
  </si>
  <si>
    <t>02-02-2026 19:13</t>
  </si>
  <si>
    <t>18:13:36</t>
  </si>
  <si>
    <t>25f050ce-c1db-4202-a1c9-3303dfc9c0ca</t>
  </si>
  <si>
    <t>02-02-2026 19:31</t>
  </si>
  <si>
    <t>18:31:07</t>
  </si>
  <si>
    <t>df174c7e-4046-42af-965e-c5cd6e7dd837</t>
  </si>
  <si>
    <t>04-02-2026 18:20</t>
  </si>
  <si>
    <t>17:20:09</t>
  </si>
  <si>
    <t>9902419e-a217-42dd-8e5b-f4e1bbe830ea</t>
  </si>
  <si>
    <t>04-02-2026 18:24</t>
  </si>
  <si>
    <t>17:24:41</t>
  </si>
  <si>
    <t>1ef0dfeb-6f75-4ac7-8fd9-2f217be5b705</t>
  </si>
  <si>
    <t>04-02-2026 18:35</t>
  </si>
  <si>
    <t>17:35:56</t>
  </si>
  <si>
    <t>5f6941c6-f020-495f-a725-c5fd6be255f8</t>
  </si>
  <si>
    <t>04-02-2026 18:42</t>
  </si>
  <si>
    <t>17:42:51</t>
  </si>
  <si>
    <t>91d8e42a-a02c-46ff-b0f0-f03fe53fa4a5</t>
  </si>
  <si>
    <t>04-02-2026 18:52</t>
  </si>
  <si>
    <t>17:52:18</t>
  </si>
  <si>
    <t>cbc351b0-b5f5-4c65-938b-d5db51e486f1</t>
  </si>
  <si>
    <t>04-02-2026 19:04</t>
  </si>
  <si>
    <t>18:04:56</t>
  </si>
  <si>
    <t>d1fe6844-c5b3-428c-bad1-1726d33e72d5</t>
  </si>
  <si>
    <t>04-02-2026 19:12</t>
  </si>
  <si>
    <t>18:12:57</t>
  </si>
  <si>
    <t>70fe8cd5-28cb-4631-b8e6-e1892166a435</t>
  </si>
  <si>
    <t>04-02-2026 19:23</t>
  </si>
  <si>
    <t>18:23:03</t>
  </si>
  <si>
    <t>31775697-fe23-40d1-a18a-f6484e26c8f1</t>
  </si>
  <si>
    <t>04-02-2026 19:30</t>
  </si>
  <si>
    <t>18:30:36</t>
  </si>
  <si>
    <t>2deb8b87-c1f5-4df1-8302-b06486c9907d</t>
  </si>
  <si>
    <t>04-02-2026 19:45</t>
  </si>
  <si>
    <t>18:45:27</t>
  </si>
  <si>
    <t>d1210564-8af2-4bf5-9eb1-86fc59b35e50</t>
  </si>
  <si>
    <t>06-02-2026 18:54</t>
  </si>
  <si>
    <t>2026-02-06</t>
  </si>
  <si>
    <t>17:54:02</t>
  </si>
  <si>
    <t>23d8dca7-38ec-4170-92d2-c2c546b1f457</t>
  </si>
  <si>
    <t>10-02-2026 18:18</t>
  </si>
  <si>
    <t>2026-02-10</t>
  </si>
  <si>
    <t>17:18:57</t>
  </si>
  <si>
    <t>b99a8422-cff6-4a12-b00e-8369ab809c6b</t>
  </si>
  <si>
    <t>10-02-2026 18:28</t>
  </si>
  <si>
    <t>17:28:50</t>
  </si>
  <si>
    <t>88030726-a258-4fdd-b226-0f750cb4505a</t>
  </si>
  <si>
    <t>10-02-2026 18:44</t>
  </si>
  <si>
    <t>17:44:26</t>
  </si>
  <si>
    <t>8cd07472-b277-45ea-9a4a-d5af0ccca24b</t>
  </si>
  <si>
    <t>17:44:32</t>
  </si>
  <si>
    <t>7eb1c249-169e-4e74-89ae-7e138251f638</t>
  </si>
  <si>
    <t>10-02-2026 18:51</t>
  </si>
  <si>
    <t>17:51:00</t>
  </si>
  <si>
    <t>c609ea59-0858-4352-a517-f3a680538525</t>
  </si>
  <si>
    <t>10-02-2026 18:55</t>
  </si>
  <si>
    <t>17:55:00</t>
  </si>
  <si>
    <t>92ccaed8-4207-43eb-85a4-a6d7f306cb8e</t>
  </si>
  <si>
    <t>10-02-2026 19:09</t>
  </si>
  <si>
    <t>18:09:41</t>
  </si>
  <si>
    <t>1f42a7c0-9605-4d37-995f-40f34fa7b0c4</t>
  </si>
  <si>
    <t>12-02-2026 18:26</t>
  </si>
  <si>
    <t>2026-02-12</t>
  </si>
  <si>
    <t>17:26:01</t>
  </si>
  <si>
    <t>7a4b47ac-c29f-41e0-8f4e-b2457b3a7922</t>
  </si>
  <si>
    <t>12-02-2026 18:33</t>
  </si>
  <si>
    <t>17:33:30</t>
  </si>
  <si>
    <t>0ef4f039-08dd-42ee-9da6-ab489327b7a0</t>
  </si>
  <si>
    <t>12-02-2026 18:39</t>
  </si>
  <si>
    <t>17:39:22</t>
  </si>
  <si>
    <t>830bb54c-d160-467f-bbe8-90d00291e782</t>
  </si>
  <si>
    <t>12-02-2026 18:51</t>
  </si>
  <si>
    <t>17:51:24</t>
  </si>
  <si>
    <t>1abb051e-a7b3-44d0-98dd-d82b809161f0</t>
  </si>
  <si>
    <t>12-02-2026 19:13</t>
  </si>
  <si>
    <t>18:13:47</t>
  </si>
  <si>
    <t>e7b81845-6883-4cb7-98ea-e1bdd96d2c71</t>
  </si>
  <si>
    <t>12-02-2026 19:23</t>
  </si>
  <si>
    <t>18:23:08</t>
  </si>
  <si>
    <t>75986fb4-e5ab-4212-82bf-7dc5b9366093</t>
  </si>
  <si>
    <t>11-03-2026 18:34</t>
  </si>
  <si>
    <t>2026-03-11</t>
  </si>
  <si>
    <t>17:34:15</t>
  </si>
  <si>
    <t>da932294-e833-4d18-86f3-7bfde513dd66</t>
  </si>
  <si>
    <t>11-03-2026 18:40</t>
  </si>
  <si>
    <t>17:40:26</t>
  </si>
  <si>
    <t>7bf216c6-b203-4127-a600-fdad93324445</t>
  </si>
  <si>
    <t>17:40:48</t>
  </si>
  <si>
    <t>962c5fdc-87ef-4ee0-9fd8-7cb17bf41efe</t>
  </si>
  <si>
    <t>11-03-2026 19:01</t>
  </si>
  <si>
    <t>18:01:23</t>
  </si>
  <si>
    <t>3b938ad5-c8bc-4617-95f6-259013922116</t>
  </si>
  <si>
    <t>11-03-2026 19:15</t>
  </si>
  <si>
    <t>18:15:50</t>
  </si>
  <si>
    <t>73396b3f-87c8-47ec-aa09-a770b882d75d</t>
  </si>
  <si>
    <t>11-03-2026 19:16</t>
  </si>
  <si>
    <t>18:16:05</t>
  </si>
  <si>
    <t>a89987d7-ece2-40fd-91f6-86a7ba696f30</t>
  </si>
  <si>
    <t>18:16:27</t>
  </si>
  <si>
    <t>f6c14ab9-f18e-49b6-ad09-a998dbb81a78</t>
  </si>
  <si>
    <t>14-03-2026 18:14</t>
  </si>
  <si>
    <t>2026-03-14</t>
  </si>
  <si>
    <t>17:14:15</t>
  </si>
  <si>
    <t>6b697e19-a29d-49b9-93ae-83dfc11b081d</t>
  </si>
  <si>
    <t>17:14:54</t>
  </si>
  <si>
    <t>05744d74-bc42-4827-a964-738b6f2f149f</t>
  </si>
  <si>
    <t>14-03-2026 18:46</t>
  </si>
  <si>
    <t>17:46:19</t>
  </si>
  <si>
    <t>0b454aa3-a13b-411a-ae51-39a7bbbca6dc</t>
  </si>
  <si>
    <t>14-03-2026 18:58</t>
  </si>
  <si>
    <t>17:58:26</t>
  </si>
  <si>
    <t>97f11971-1d8b-4b72-9069-cc5353f5d5c5</t>
  </si>
  <si>
    <t>16-03-2026 18:44</t>
  </si>
  <si>
    <t>2026-03-16</t>
  </si>
  <si>
    <t>17:44:14</t>
  </si>
  <si>
    <t>c127796b-3720-4f51-82fe-180a85e903e6</t>
  </si>
  <si>
    <t>17:44:23</t>
  </si>
  <si>
    <t>1cac4361-e91b-45f5-ae88-43ee11f8875f</t>
  </si>
  <si>
    <t>16-03-2026 19:13</t>
  </si>
  <si>
    <t>18:13:50</t>
  </si>
  <si>
    <t>614d258d-eeec-4c89-88f9-12c9dbf0d31b</t>
  </si>
  <si>
    <t>16-03-2026 19:27</t>
  </si>
  <si>
    <t>18:27:19</t>
  </si>
  <si>
    <t>af61bddd-1ef2-453b-896c-96548ff4ef94</t>
  </si>
  <si>
    <t>18:27:24</t>
  </si>
  <si>
    <t>d8bbc8fb-3ea2-4af0-8383-a9052358ac42</t>
  </si>
  <si>
    <t>19-03-2026 21:19</t>
  </si>
  <si>
    <t>20:19:15</t>
  </si>
  <si>
    <t>b2a6fbcf-2b4c-4b8d-b827-8fe3d34a4987</t>
  </si>
  <si>
    <t>19-03-2026 21:31</t>
  </si>
  <si>
    <t>20:31:47</t>
  </si>
  <si>
    <t>460479b5-d7c1-41c4-86b9-4f1ac40c78ea</t>
  </si>
  <si>
    <t>19-03-2026 21:38</t>
  </si>
  <si>
    <t>20:38:15</t>
  </si>
  <si>
    <t>594761f8-338d-412d-85db-d4287f316301</t>
  </si>
  <si>
    <t>19-03-2026 22:10</t>
  </si>
  <si>
    <t>21:10:41</t>
  </si>
  <si>
    <t>a5cb7163-9aea-4d1e-a601-ce6192d71b6a</t>
  </si>
  <si>
    <t>23-03-2026 18:34</t>
  </si>
  <si>
    <t>2026-03-23</t>
  </si>
  <si>
    <t>17:34:06</t>
  </si>
  <si>
    <t>fd034326-7d79-4a17-8915-be676795ae7d</t>
  </si>
  <si>
    <t>23-03-2026 18:44</t>
  </si>
  <si>
    <t>17:44:55</t>
  </si>
  <si>
    <t>6045f7aa-2dae-43f4-a51b-88fab5d1232f</t>
  </si>
  <si>
    <t>23-03-2026 18:56</t>
  </si>
  <si>
    <t>17:56:22</t>
  </si>
  <si>
    <t>8f9804ee-a2d0-4f1f-867d-94aff677e962</t>
  </si>
  <si>
    <t>23-03-2026 18:59</t>
  </si>
  <si>
    <t>17:59:58</t>
  </si>
  <si>
    <t>84fe4b51-5628-45d7-a130-68d6560e23fe</t>
  </si>
  <si>
    <t>23-03-2026 19:10</t>
  </si>
  <si>
    <t>18:10:44</t>
  </si>
  <si>
    <t>3e4dd2a2-ee36-4175-9382-d84f5a0d39b3</t>
  </si>
  <si>
    <t>23-03-2026 19:36</t>
  </si>
  <si>
    <t>18:36:33</t>
  </si>
  <si>
    <t>284c5b10-6529-44c9-ab45-68936adf016b</t>
  </si>
  <si>
    <t>23-03-2026 19:37</t>
  </si>
  <si>
    <t>18:37:08</t>
  </si>
  <si>
    <t>c4cf415f-6402-400a-8590-d45f8b424a8a</t>
  </si>
  <si>
    <t>27-03-2026 18:38</t>
  </si>
  <si>
    <t>17:38:54</t>
  </si>
  <si>
    <t>60ca585b-e0fe-40bf-ab5c-52d7e7b39841</t>
  </si>
  <si>
    <t>27-03-2026 18:39</t>
  </si>
  <si>
    <t>17:39:14</t>
  </si>
  <si>
    <t>312dd7da-a20f-439f-85d7-3084421eb8da</t>
  </si>
  <si>
    <t>27-03-2026 18:59</t>
  </si>
  <si>
    <t>17:59:39</t>
  </si>
  <si>
    <t>e91aba43-3bfc-4c12-b9e8-da6aaa95f6b7</t>
  </si>
  <si>
    <t>27-03-2026 19:14</t>
  </si>
  <si>
    <t>18:14:29</t>
  </si>
  <si>
    <t>5c33349e-c872-402d-a2e5-61ebe91066f4</t>
  </si>
  <si>
    <t>27-03-2026 19:39</t>
  </si>
  <si>
    <t>18:39:55</t>
  </si>
  <si>
    <t>5717b3e7-20fa-41c8-9b00-f2f782ad4a20</t>
  </si>
  <si>
    <t>27-03-2026 19:40</t>
  </si>
  <si>
    <t>18:40:11</t>
  </si>
  <si>
    <t>05e6241c-84e2-40f7-82c4-aac0e94ad0d8</t>
  </si>
  <si>
    <t>30-03-2026 20:34</t>
  </si>
  <si>
    <t>18:34:41</t>
  </si>
  <si>
    <t>b2097c31-fa8d-4bb4-9002-94740bb45f4c</t>
  </si>
  <si>
    <t>30-03-2026 20:48</t>
  </si>
  <si>
    <t>18:48:13</t>
  </si>
  <si>
    <t>1543e657-5a66-49f6-b2b4-4ce07a8e4612</t>
  </si>
  <si>
    <t>18:48:37</t>
  </si>
  <si>
    <t>9d6a9ee1-ecd3-4b78-8d68-faed9f81c36c</t>
  </si>
  <si>
    <t>30-03-2026 20:57</t>
  </si>
  <si>
    <t>18:57:19</t>
  </si>
  <si>
    <t>77845a37-f812-44d6-8f5f-d8c263e62376</t>
  </si>
  <si>
    <t>30-03-2026 20:58</t>
  </si>
  <si>
    <t>18:58:06</t>
  </si>
  <si>
    <t>e16e03e9-6e98-44cf-9eb1-f3f04009acdc</t>
  </si>
  <si>
    <t>30-03-2026 21:17</t>
  </si>
  <si>
    <t>19:17:53</t>
  </si>
  <si>
    <t>679e084a-63ae-4c90-9f71-82571dacdbba</t>
  </si>
  <si>
    <t>30-03-2026 21:29</t>
  </si>
  <si>
    <t>19:29:54</t>
  </si>
  <si>
    <t>862fb9e4-9a7a-41f6-9595-0ec5995d84f2</t>
  </si>
  <si>
    <t>30-03-2026 21:43</t>
  </si>
  <si>
    <t>19:43:20</t>
  </si>
  <si>
    <t>f29f87cb-5a8b-4095-9e94-321543acf8da</t>
  </si>
  <si>
    <t>19:43:33</t>
  </si>
  <si>
    <t>373a896f-61f2-4f85-b474-93556d692054</t>
  </si>
  <si>
    <t>01-04-2026 20:49</t>
  </si>
  <si>
    <t>18:49:23</t>
  </si>
  <si>
    <t>982c6892-6a94-4e79-b3fc-53124b70b252</t>
  </si>
  <si>
    <t>01-04-2026 21:06</t>
  </si>
  <si>
    <t>19:06:17</t>
  </si>
  <si>
    <t>bd88667c-7565-4e29-bf81-c47db4f76eee</t>
  </si>
  <si>
    <t>01-04-2026 21:17</t>
  </si>
  <si>
    <t>19:17:39</t>
  </si>
  <si>
    <t>89cbe9d5-0993-4aaf-9dcf-536cf360d586</t>
  </si>
  <si>
    <t>01-04-2026 21:34</t>
  </si>
  <si>
    <t>19:34:17</t>
  </si>
  <si>
    <t>13d96207-35e9-46c4-a8bc-b72919bddcc8</t>
  </si>
  <si>
    <t>04-04-2026 20:24</t>
  </si>
  <si>
    <t>18:24:40</t>
  </si>
  <si>
    <t>6117922b-f095-45ff-90d0-079fadce13f3</t>
  </si>
  <si>
    <t>04-04-2026 20:32</t>
  </si>
  <si>
    <t>18:32:13</t>
  </si>
  <si>
    <t>ef53ba5f-ff87-4e50-990c-0824884dcc82</t>
  </si>
  <si>
    <t>04-04-2026 20:38</t>
  </si>
  <si>
    <t>18:38:04</t>
  </si>
  <si>
    <t>6994fe2e-8227-401e-b1c9-d095d7d5b658</t>
  </si>
  <si>
    <t>04-04-2026 20:50</t>
  </si>
  <si>
    <t>18:50:40</t>
  </si>
  <si>
    <t>af344d34-07f1-4a55-9615-3cf81c10575f</t>
  </si>
  <si>
    <t>18:50:52</t>
  </si>
  <si>
    <t>5d85d817-6102-45a0-bacc-60b5607962cb</t>
  </si>
  <si>
    <t>04-04-2026 20:57</t>
  </si>
  <si>
    <t>18:57:06</t>
  </si>
  <si>
    <t>09c2d70a-f50a-4899-900a-726472804637</t>
  </si>
  <si>
    <t>04-04-2026 21:04</t>
  </si>
  <si>
    <t>19:04:49</t>
  </si>
  <si>
    <t>10fd959f-fca1-448c-91b0-e12084a174bf</t>
  </si>
  <si>
    <t>04-04-2026 21:13</t>
  </si>
  <si>
    <t>19:13:29</t>
  </si>
  <si>
    <t>08feab41-5144-41ef-a038-2c24330f6557</t>
  </si>
  <si>
    <t>13-04-2026 20:51</t>
  </si>
  <si>
    <t>18:51:49</t>
  </si>
  <si>
    <t>25e60517-a8fd-4ede-aa69-24fa88d8e5c8</t>
  </si>
  <si>
    <t>13-04-2026 21:26</t>
  </si>
  <si>
    <t>19:26:06</t>
  </si>
  <si>
    <t>9ffb1334-c058-4915-9e64-6784c3065c50</t>
  </si>
  <si>
    <t>19:26:15</t>
  </si>
  <si>
    <t>d3dcc737-a049-479c-9b54-73e0376c4f95</t>
  </si>
  <si>
    <t>26-04-2026 23:40</t>
  </si>
  <si>
    <t>21:40:10</t>
  </si>
  <si>
    <t>8e50ca0e-bf9a-462f-aed3-fba12e8643d2</t>
  </si>
  <si>
    <t>27-04-2026 00:20</t>
  </si>
  <si>
    <t>22:20:53</t>
  </si>
  <si>
    <t>c768d689-12fc-4ade-a9a1-bd6ac3d6b905</t>
  </si>
  <si>
    <t>29-04-2026 20:02</t>
  </si>
  <si>
    <t>18:02:42</t>
  </si>
  <si>
    <t>fa430db2-5612-44f8-8132-7f3d60519a31</t>
  </si>
  <si>
    <t>29-04-2026 20:03</t>
  </si>
  <si>
    <t>18:03:03</t>
  </si>
  <si>
    <t>241919ad-3d28-409a-ada5-2b135e8f8ef0</t>
  </si>
  <si>
    <t>18:03:17</t>
  </si>
  <si>
    <t>115b3ff9-9e34-48e6-8088-9c3082ed5c19</t>
  </si>
  <si>
    <t>29-04-2026 20:17</t>
  </si>
  <si>
    <t>18:17:46</t>
  </si>
  <si>
    <t>7758c36a-3c0c-41a5-8889-2a510231cf42</t>
  </si>
  <si>
    <t>Mave</t>
  </si>
  <si>
    <t>Bryst</t>
  </si>
  <si>
    <t>Triceps</t>
  </si>
  <si>
    <t>Lår</t>
  </si>
  <si>
    <t>Rotatormanchet</t>
  </si>
  <si>
    <t>Ryg</t>
  </si>
  <si>
    <t>Skulder</t>
  </si>
  <si>
    <t>Average of TodayWeight</t>
  </si>
  <si>
    <t>Hovedtotal</t>
  </si>
  <si>
    <t>📊 Træningsanalyse (Log)</t>
  </si>
  <si>
    <t>📅 Dag-fordeling (fra Log)</t>
  </si>
  <si>
    <t>Helper (skjult)</t>
  </si>
  <si>
    <t>Type-fordeling</t>
  </si>
  <si>
    <t>Nøgletal</t>
  </si>
  <si>
    <t>CategoryLookup</t>
  </si>
  <si>
    <t>One</t>
  </si>
  <si>
    <t>DayKey</t>
  </si>
  <si>
    <t>Beskrivelse</t>
  </si>
  <si>
    <t>Total</t>
  </si>
  <si>
    <t>Leg-andel</t>
  </si>
  <si>
    <t>Push/Pull</t>
  </si>
  <si>
    <t>Antal</t>
  </si>
  <si>
    <t>Andel</t>
  </si>
  <si>
    <t>Total rækker i Log</t>
  </si>
  <si>
    <t>Programdag 1</t>
  </si>
  <si>
    <t>Push/Pull ratio</t>
  </si>
  <si>
    <t>Programdag 2</t>
  </si>
  <si>
    <t>Programdag 3 (ad hoc)</t>
  </si>
  <si>
    <t>Core-andel</t>
  </si>
  <si>
    <t>Hjemme</t>
  </si>
  <si>
    <t>Ukendt kategori (ikke matchet)</t>
  </si>
  <si>
    <t>Opvarmning</t>
  </si>
  <si>
    <t>Ekstra / blandet</t>
  </si>
  <si>
    <t>Øvelser (sorteret efter hyppighed)</t>
  </si>
  <si>
    <t>Ikke sat</t>
  </si>
  <si>
    <t>Type (master)</t>
  </si>
  <si>
    <t>Category (master)</t>
  </si>
  <si>
    <t>Ukendt</t>
  </si>
  <si>
    <t>🧾 Profil &amp; Træningskontekst (input til planlægning)</t>
  </si>
  <si>
    <t>Samlet fra dine beskeder (programdage, udstyr, opvarmning, fokusområder og mål)</t>
  </si>
  <si>
    <t>Emne</t>
  </si>
  <si>
    <t>Kode/område</t>
  </si>
  <si>
    <t>Detalje</t>
  </si>
  <si>
    <t>Noter / formål</t>
  </si>
  <si>
    <t>Træningsfrekvens</t>
  </si>
  <si>
    <t>Uge</t>
  </si>
  <si>
    <t>Fast 2 dage/uge, ofte 3</t>
  </si>
  <si>
    <t>Plan bør fungere på 2 dage, med valgfri 3. dag</t>
  </si>
  <si>
    <t>Programdage</t>
  </si>
  <si>
    <t>Dag 1</t>
  </si>
  <si>
    <t>Programdag (primært brugt)</t>
  </si>
  <si>
    <t>Base-dag</t>
  </si>
  <si>
    <t>Dag 2</t>
  </si>
  <si>
    <t>Dag 3</t>
  </si>
  <si>
    <t>Bruges ad hoc – tages fra efter behov</t>
  </si>
  <si>
    <t>Ekstra volumen / prehab / skills</t>
  </si>
  <si>
    <t>Dag 9</t>
  </si>
  <si>
    <t>Arkiv for ikke brugte øvelseriTidligere brugte øvelser</t>
  </si>
  <si>
    <t>Kode (Log)</t>
  </si>
  <si>
    <t>Indgår som opvarmningsblok</t>
  </si>
  <si>
    <t>Hjemme-træning</t>
  </si>
  <si>
    <t>Begrænset udstyr – kropsvægt + håndvægte</t>
  </si>
  <si>
    <t>Hjemme-udstyr</t>
  </si>
  <si>
    <t>Cardio</t>
  </si>
  <si>
    <t>Træningscykel (hjemme)</t>
  </si>
  <si>
    <t>Kan bruges som opvarmning/zone 2</t>
  </si>
  <si>
    <t>Vægte</t>
  </si>
  <si>
    <t>2 håndvægte á ca. 14 kg</t>
  </si>
  <si>
    <t>Primært til presses, rows, split squats, carries</t>
  </si>
  <si>
    <t>Løbebånd</t>
  </si>
  <si>
    <t>Ca. 4 min en gang imellem</t>
  </si>
  <si>
    <t>Som kort pulsstigning før styrke</t>
  </si>
  <si>
    <t>Historik</t>
  </si>
  <si>
    <t>Split</t>
  </si>
  <si>
    <t>Startede med pull/push-dage, gik væk fra det igen</t>
  </si>
  <si>
    <t>Nuværende blanding mere full-body/efter behov</t>
  </si>
  <si>
    <t>Fokus (rehab)</t>
  </si>
  <si>
    <t>Knæ</t>
  </si>
  <si>
    <t>Knæ har drillet – vil styrke</t>
  </si>
  <si>
    <t>Prioritér knæ-venlige squat/split squat + kontrolleret volumen</t>
  </si>
  <si>
    <t>Lænd</t>
  </si>
  <si>
    <t>Vil styrke lænd</t>
  </si>
  <si>
    <t>Hinge-arbejde, anti-rotation, gradvis progression</t>
  </si>
  <si>
    <t>Udfordringer</t>
  </si>
  <si>
    <t>Nakke</t>
  </si>
  <si>
    <t>Nakke udfordringer</t>
  </si>
  <si>
    <t>Stabilitet/volumenstyring, undgå provokerende mønstre</t>
  </si>
  <si>
    <t>Skulder udfordringer</t>
  </si>
  <si>
    <t>Pull &gt; push, rotator cuff/skapula</t>
  </si>
  <si>
    <t>Skill (kan)</t>
  </si>
  <si>
    <t>Elbow lever</t>
  </si>
  <si>
    <t>Kan udføre elbow lever</t>
  </si>
  <si>
    <t>Vedligehold/byg videre</t>
  </si>
  <si>
    <t>Skill (mål)</t>
  </si>
  <si>
    <t>Planche lean</t>
  </si>
  <si>
    <t>Vil træne planche lean</t>
  </si>
  <si>
    <t>Progression/teknik som ekstra blok</t>
  </si>
  <si>
    <t>Handstand push-up</t>
  </si>
  <si>
    <t>Vil træne handstand push-up</t>
  </si>
  <si>
    <t>Skulderstyrke + vertikal pres + kontrol</t>
  </si>
  <si>
    <t>🛠️ Justeringsforslag (baseret på din profil)</t>
  </si>
  <si>
    <t>Område</t>
  </si>
  <si>
    <t>Justering</t>
  </si>
  <si>
    <t>Hvorfor</t>
  </si>
  <si>
    <t>Gælder for (dag)</t>
  </si>
  <si>
    <t>Ben/Knæ</t>
  </si>
  <si>
    <t>Sørg for 1 knæ-dominant øvelse på både Dag 1 og Dag 2 (fx squat / split squat) før overkrop</t>
  </si>
  <si>
    <t>Knæ styrkes bedst med hyppig, kontrolleret belastning. Giver stabil base når du kun rammer 2 dage.</t>
  </si>
  <si>
    <t>1 &amp; 2</t>
  </si>
  <si>
    <t>Tilføj/hold 1 hinge-variant pr. uge (RDL/deadlift-variant) + anti-rotation (Pallof)</t>
  </si>
  <si>
    <t>Posterior chain + anti-rotation støtter lænd uden at kræve max-løft hver gang.</t>
  </si>
  <si>
    <t>2 eller 3</t>
  </si>
  <si>
    <t>Hold pull ≥ push og prioritér scapula/rotator cuff (face pulls + ekstern rotation) som fast “hygiejne”</t>
  </si>
  <si>
    <t>Dæmper irritation og giver bedre skulder-position til pres/handstand.</t>
  </si>
  <si>
    <t>1 &amp; 2 (kort blok)</t>
  </si>
  <si>
    <t>Begræns “høj-intens” nakkevolumen; brug 1–2 lette/isometriske øvelser 2–3x/uge</t>
  </si>
  <si>
    <t>Stabilitet &gt; træthed. Lidt og ofte virker bedre end sjældent og meget.</t>
  </si>
  <si>
    <t>Efter træning / hjemme</t>
  </si>
  <si>
    <t>Skills</t>
  </si>
  <si>
    <t>Læg planche lean + handstand-pushup progression som 10–15 min teknik i starten (ikke til sidst)</t>
  </si>
  <si>
    <t>Skill-læring kræver friskhed og god kvalitet; mindre risiko for dårlig teknik.</t>
  </si>
  <si>
    <t>3 (primært) eller 1</t>
  </si>
  <si>
    <t>2-dages uge</t>
  </si>
  <si>
    <t>Skær ned på “ekstra” isolation hvis tiden er knap – hold fokus på 4–6 hovedløft pr. pas</t>
  </si>
  <si>
    <t>Når frekvens er lav, giver store øvelser mest fremgang pr. minut.</t>
  </si>
  <si>
    <t>Hjemme (H)</t>
  </si>
  <si>
    <t>Brug DB 14 kg til split squats, rows, carries, floor press + cykel som opvarmning/zone 2</t>
  </si>
  <si>
    <t>Udnyt hjemme-dage til vedligehold og prehab uden at “stjæle” fra hovedpas.</t>
  </si>
  <si>
    <t>Opvarmning (O)</t>
  </si>
  <si>
    <t>Gør O til fast 5–8 min: let puls + knæ/hoftemobilitet + scapula aktivering</t>
  </si>
  <si>
    <t>Bedre knæ/lænd/skulder tolerance før belastning.</t>
  </si>
  <si>
    <t>O / start af alle pas</t>
  </si>
  <si>
    <t>Dag</t>
  </si>
  <si>
    <t>Sektion</t>
  </si>
  <si>
    <t>Rækkefølge</t>
  </si>
  <si>
    <t>Øvelse</t>
  </si>
  <si>
    <t>Kategori</t>
  </si>
  <si>
    <t>Fokus</t>
  </si>
  <si>
    <t>Noter</t>
  </si>
  <si>
    <t>Puls + ryg/ben varme</t>
  </si>
  <si>
    <t>4–6 min rolig (evt. løbebånd 4 min)</t>
  </si>
  <si>
    <t>Styrke</t>
  </si>
  <si>
    <t>Knæ/ben – kontrolleret</t>
  </si>
  <si>
    <t>3 sæt, stop 1–2 reps før failure</t>
  </si>
  <si>
    <t>Presstyrke (HSPU-base indirekte)</t>
  </si>
  <si>
    <t>Skulderblade tilbage/ned, smertefri ROM</t>
  </si>
  <si>
    <t>Skulderbalance + ryg</t>
  </si>
  <si>
    <t>Kontrolleret excentrisk, fuld skulderkontrol</t>
  </si>
  <si>
    <t>Øvre ryg/skapula</t>
  </si>
  <si>
    <t>Træk mod nederste ribben, pause i top</t>
  </si>
  <si>
    <t>Hygiejne</t>
  </si>
  <si>
    <t>Skulder/nakke – scapula</t>
  </si>
  <si>
    <t>Let/moderat, fokus på teknik</t>
  </si>
  <si>
    <t>Rotator cuff</t>
  </si>
  <si>
    <t>Let, smertefri ROM</t>
  </si>
  <si>
    <t>Lænd – anti-rotation</t>
  </si>
  <si>
    <t>Stram mave/glutes, rolig vejrtrækning</t>
  </si>
  <si>
    <t>Puls + knæ varme</t>
  </si>
  <si>
    <t>5–8 min rolig/moderat</t>
  </si>
  <si>
    <t>Lænd/bagkæde – hinge</t>
  </si>
  <si>
    <t>Neutral ryg, kontrolleret tempo</t>
  </si>
  <si>
    <t>Knæ + hofte stabilitet</t>
  </si>
  <si>
    <t>Kort ROM hvis knæ brokker sig</t>
  </si>
  <si>
    <t>Vertikal pres → HSPU progression</t>
  </si>
  <si>
    <t>Progressér vinkel/ROM gradvist</t>
  </si>
  <si>
    <t>Lat/ryg</t>
  </si>
  <si>
    <t>Saml skulderblade ned først</t>
  </si>
  <si>
    <t>Ryg + core brace</t>
  </si>
  <si>
    <t>Træk mod nederste ribben</t>
  </si>
  <si>
    <t>Knæ (quad) – kontrolleret</t>
  </si>
  <si>
    <t>Rolig excentrisk, smertefri</t>
  </si>
  <si>
    <t>Lænd/bracing + greb</t>
  </si>
  <si>
    <t>Korte ture, rank kropsholdning</t>
  </si>
  <si>
    <t>Puls + helkrop</t>
  </si>
  <si>
    <t>4–6 min rolig</t>
  </si>
  <si>
    <t>Skill</t>
  </si>
  <si>
    <t>Planche-lean teknik</t>
  </si>
  <si>
    <t>10–20 sek, 3–5 sæt, kvalitet &gt; tid</t>
  </si>
  <si>
    <t>HSPU teknik/styrke</t>
  </si>
  <si>
    <t>Eccentrics/partial ROM, stop før smerte</t>
  </si>
  <si>
    <t>Vedligehold + kontrol</t>
  </si>
  <si>
    <t>Korte holds, god skulderposition</t>
  </si>
  <si>
    <t>Ben</t>
  </si>
  <si>
    <t>Knæ + glute</t>
  </si>
  <si>
    <t>Kontrolleret, fokus på knæsporing</t>
  </si>
  <si>
    <t>Hamstring</t>
  </si>
  <si>
    <t>Rolig tempo, fuld kontrol</t>
  </si>
  <si>
    <t>Core/lænd kontrol</t>
  </si>
  <si>
    <t>Kun smertefri ROM, neutral ryg</t>
  </si>
  <si>
    <t>Nakke stabilitet</t>
  </si>
  <si>
    <t>Let isometrisk 5–10 sek x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</si>
</sst>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1">
    <font>
      <sz val="11"/>
      <color theme="1"/>
      <name val="Calibri"/>
      <family val="2"/>
      <scheme val="minor"/>
    </font>
    <font>
      <b/>
      <sz val="11"/>
      <color theme="0"/>
      <name val="Calibri"/>
      <family val="2"/>
      <scheme val="minor"/>
    </font>
    <font>
      <b/>
      <sz val="11"/>
      <color rgb="FF000000"/>
      <name val="Calibri"/>
    </font>
    <font>
      <sz val="11"/>
      <color rgb="FF000000"/>
      <name val="Calibri"/>
    </font>
    <font>
      <sz val="11"/>
      <color rgb="FF000000"/>
      <name val="Calibri"/>
      <family val="2"/>
    </font>
    <font>
      <b/>
      <sz val="11"/>
      <color rgb="FF000000"/>
      <name val="Calibri"/>
      <family val="2"/>
    </font>
    <font>
      <b/>
      <sz val="11"/>
      <color theme="1"/>
      <name val="Calibri"/>
      <family val="2"/>
      <scheme val="minor"/>
    </font>
    <font>
      <b/>
      <sz val="16"/>
      <color rgb="FF0B2F4A"/>
      <name val="Calibri"/>
      <family val="2"/>
      <scheme val="minor"/>
    </font>
    <font>
      <b/>
      <sz val="11"/>
      <color rgb="FF111111"/>
      <name val="Calibri"/>
      <family val="2"/>
      <scheme val="minor"/>
    </font>
    <font>
      <b/>
      <sz val="14"/>
      <color rgb="FFFFFFFF"/>
      <name val="Calibri"/>
      <family val="2"/>
      <scheme val="minor"/>
    </font>
    <font>
      <i/>
      <sz val="11"/>
      <color rgb="FF404040"/>
      <name val="Calibri"/>
      <family val="2"/>
      <scheme val="minor"/>
    </font>
  </fonts>
  <fills count="9">
    <fill>
      <patternFill patternType="none"/>
    </fill>
    <fill>
      <patternFill patternType="gray125"/>
    </fill>
    <fill>
      <patternFill patternType="solid">
        <fgColor theme="4" tint="0.59999389629810485"/>
        <bgColor theme="4" tint="0.59999389629810485"/>
      </patternFill>
    </fill>
    <fill>
      <patternFill patternType="solid">
        <fgColor theme="4"/>
        <bgColor theme="4"/>
      </patternFill>
    </fill>
    <fill>
      <patternFill patternType="solid">
        <fgColor rgb="FFD9EAF7"/>
        <bgColor indexed="64"/>
      </patternFill>
    </fill>
    <fill>
      <patternFill patternType="solid">
        <fgColor rgb="FFF2F2F2"/>
        <bgColor indexed="64"/>
      </patternFill>
    </fill>
    <fill>
      <patternFill patternType="solid">
        <fgColor rgb="FFEFEFEF"/>
        <bgColor indexed="64"/>
      </patternFill>
    </fill>
    <fill>
      <patternFill patternType="solid">
        <fgColor rgb="FF1F4E79"/>
        <bgColor indexed="64"/>
      </patternFill>
    </fill>
    <fill>
      <patternFill patternType="solid">
        <fgColor rgb="FF2F5597"/>
        <bgColor indexed="64"/>
      </patternFill>
    </fill>
  </fills>
  <borders count="7">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s>
  <cellStyleXfs count="1">
    <xf numFmtId="0" fontId="0" fillId="0" borderId="0"/>
  </cellStyleXfs>
  <cellXfs count="49">
    <xf numFmtId="0" fontId="0" fillId="0" borderId="0" xfId="0"/>
    <xf numFmtId="2" fontId="0" fillId="0" borderId="0" xfId="0" applyNumberFormat="1"/>
    <xf numFmtId="1" fontId="0" fillId="0" borderId="0" xfId="0" applyNumberFormat="1"/>
    <xf numFmtId="164" fontId="0" fillId="0" borderId="0" xfId="0" applyNumberFormat="1"/>
    <xf numFmtId="49" fontId="0" fillId="0" borderId="0" xfId="0" applyNumberFormat="1"/>
    <xf numFmtId="0" fontId="1" fillId="3" borderId="1" xfId="0" applyFont="1" applyFill="1" applyBorder="1" applyAlignment="1">
      <alignment horizontal="center" vertical="top"/>
    </xf>
    <xf numFmtId="1" fontId="1" fillId="3" borderId="1" xfId="0" applyNumberFormat="1" applyFont="1" applyFill="1" applyBorder="1" applyAlignment="1">
      <alignment horizontal="center" vertical="top"/>
    </xf>
    <xf numFmtId="0" fontId="2" fillId="0" borderId="3" xfId="0" applyFont="1" applyBorder="1"/>
    <xf numFmtId="0" fontId="2" fillId="0" borderId="4" xfId="0" applyFont="1" applyBorder="1"/>
    <xf numFmtId="0" fontId="3" fillId="0" borderId="0" xfId="0" applyFont="1"/>
    <xf numFmtId="0" fontId="3" fillId="0" borderId="0" xfId="0" applyFont="1" applyAlignment="1">
      <alignment wrapText="1"/>
    </xf>
    <xf numFmtId="11" fontId="3" fillId="0" borderId="0" xfId="0" applyNumberFormat="1" applyFont="1"/>
    <xf numFmtId="0" fontId="2" fillId="0" borderId="4" xfId="0" applyFont="1" applyBorder="1" applyAlignment="1">
      <alignment wrapText="1"/>
    </xf>
    <xf numFmtId="0" fontId="4" fillId="0" borderId="0" xfId="0" applyFont="1"/>
    <xf numFmtId="0" fontId="4" fillId="0" borderId="0" xfId="0" applyFont="1" applyAlignment="1">
      <alignment wrapText="1"/>
    </xf>
    <xf numFmtId="0" fontId="0" fillId="2" borderId="2" xfId="0" applyFill="1" applyBorder="1" applyAlignment="1">
      <alignment horizontal="center" vertical="top"/>
    </xf>
    <xf numFmtId="0" fontId="1" fillId="2" borderId="2" xfId="0" applyFont="1" applyFill="1" applyBorder="1" applyAlignment="1">
      <alignment horizontal="center" vertical="top"/>
    </xf>
    <xf numFmtId="1" fontId="0" fillId="2" borderId="2" xfId="0" applyNumberFormat="1" applyFill="1" applyBorder="1" applyAlignment="1">
      <alignment horizontal="center" vertical="top"/>
    </xf>
    <xf numFmtId="49" fontId="1" fillId="3" borderId="1" xfId="0" applyNumberFormat="1" applyFont="1" applyFill="1" applyBorder="1" applyAlignment="1">
      <alignment horizontal="center" vertical="top"/>
    </xf>
    <xf numFmtId="49" fontId="1" fillId="2" borderId="2" xfId="0" applyNumberFormat="1" applyFont="1" applyFill="1" applyBorder="1" applyAlignment="1">
      <alignment horizontal="center" vertical="top"/>
    </xf>
    <xf numFmtId="49" fontId="1" fillId="2" borderId="5" xfId="0" applyNumberFormat="1" applyFont="1" applyFill="1" applyBorder="1" applyAlignment="1">
      <alignment horizontal="center" vertical="top"/>
    </xf>
    <xf numFmtId="0" fontId="0" fillId="2" borderId="2" xfId="0" applyFill="1" applyBorder="1" applyAlignment="1">
      <alignment horizontal="center"/>
    </xf>
    <xf numFmtId="0" fontId="0" fillId="0" borderId="0" xfId="0" applyAlignment="1">
      <alignment horizontal="center"/>
    </xf>
    <xf numFmtId="1" fontId="0" fillId="2" borderId="2" xfId="0" applyNumberFormat="1" applyFill="1" applyBorder="1" applyAlignment="1">
      <alignment horizontal="center"/>
    </xf>
    <xf numFmtId="49" fontId="0" fillId="2" borderId="2" xfId="0" applyNumberFormat="1" applyFill="1" applyBorder="1" applyAlignment="1">
      <alignment horizontal="center"/>
    </xf>
    <xf numFmtId="49" fontId="0" fillId="0" borderId="0" xfId="0" applyNumberFormat="1" applyAlignment="1">
      <alignment horizontal="center"/>
    </xf>
    <xf numFmtId="49" fontId="1" fillId="3" borderId="1" xfId="0" applyNumberFormat="1" applyFont="1" applyFill="1" applyBorder="1" applyAlignment="1">
      <alignment vertical="top"/>
    </xf>
    <xf numFmtId="49" fontId="0" fillId="2" borderId="2" xfId="0" applyNumberFormat="1" applyFill="1" applyBorder="1"/>
    <xf numFmtId="49" fontId="0" fillId="2" borderId="2" xfId="0" applyNumberFormat="1" applyFill="1" applyBorder="1" applyAlignment="1">
      <alignment vertical="top"/>
    </xf>
    <xf numFmtId="49" fontId="5" fillId="0" borderId="4" xfId="0" applyNumberFormat="1" applyFont="1" applyBorder="1"/>
    <xf numFmtId="49" fontId="2" fillId="0" borderId="4" xfId="0" applyNumberFormat="1" applyFont="1" applyBorder="1"/>
    <xf numFmtId="49" fontId="4" fillId="0" borderId="0" xfId="0" applyNumberFormat="1" applyFont="1"/>
    <xf numFmtId="0" fontId="5" fillId="0" borderId="4" xfId="0" applyFont="1" applyBorder="1" applyAlignment="1">
      <alignment wrapText="1"/>
    </xf>
    <xf numFmtId="0" fontId="0" fillId="0" borderId="0" xfId="0" pivotButton="1"/>
    <xf numFmtId="49" fontId="0" fillId="2" borderId="0" xfId="0" applyNumberFormat="1" applyFill="1" applyAlignment="1">
      <alignment horizontal="center"/>
    </xf>
    <xf numFmtId="49" fontId="3" fillId="2" borderId="2" xfId="0" applyNumberFormat="1" applyFont="1" applyFill="1" applyBorder="1" applyAlignment="1">
      <alignment horizontal="center"/>
    </xf>
    <xf numFmtId="0" fontId="6" fillId="0" borderId="0" xfId="0" applyFont="1"/>
    <xf numFmtId="0" fontId="8" fillId="5" borderId="0" xfId="0" applyFont="1" applyFill="1"/>
    <xf numFmtId="165" fontId="0" fillId="0" borderId="0" xfId="0" applyNumberFormat="1"/>
    <xf numFmtId="0" fontId="8" fillId="6" borderId="0" xfId="0" applyFont="1" applyFill="1"/>
    <xf numFmtId="1" fontId="0" fillId="2" borderId="0" xfId="0" applyNumberFormat="1" applyFill="1" applyAlignment="1">
      <alignment horizontal="center"/>
    </xf>
    <xf numFmtId="1" fontId="0" fillId="2" borderId="0" xfId="0" applyNumberFormat="1" applyFill="1" applyAlignment="1">
      <alignment horizontal="center" vertical="top"/>
    </xf>
    <xf numFmtId="0" fontId="0" fillId="0" borderId="0" xfId="0" applyAlignment="1">
      <alignment wrapText="1"/>
    </xf>
    <xf numFmtId="49" fontId="3" fillId="2" borderId="6" xfId="0" applyNumberFormat="1" applyFont="1" applyFill="1" applyBorder="1" applyAlignment="1">
      <alignment horizontal="center"/>
    </xf>
    <xf numFmtId="0" fontId="7" fillId="4" borderId="0" xfId="0" applyFont="1" applyFill="1" applyAlignment="1">
      <alignment horizontal="left"/>
    </xf>
    <xf numFmtId="0" fontId="9" fillId="7" borderId="0" xfId="0" applyFont="1" applyFill="1" applyAlignment="1">
      <alignment horizontal="left"/>
    </xf>
    <xf numFmtId="0" fontId="9" fillId="7" borderId="0" xfId="0" applyFont="1" applyFill="1" applyAlignment="1">
      <alignment horizontal="left" vertical="center"/>
    </xf>
    <xf numFmtId="0" fontId="10" fillId="0" borderId="0" xfId="0" applyFont="1" applyAlignment="1"/>
    <xf numFmtId="0" fontId="9" fillId="8" borderId="0" xfId="0" applyFont="1" applyFill="1" applyAlignment="1"/>
  </cellXfs>
  <cellStyles count="1">
    <cellStyle name="Normal" xfId="0" builtinId="0"/>
  </cellStyles>
  <dxfs count="54">
    <dxf>
      <alignment wrapText="1"/>
    </dxf>
    <dxf>
      <alignment wrapText="1"/>
    </dxf>
    <dxf>
      <alignment wrapText="1"/>
    </dxf>
    <dxf>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alignment wrapText="1"/>
    </dxf>
    <dxf>
      <alignment wrapText="1"/>
    </dxf>
    <dxf>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alignment wrapText="1"/>
    </dxf>
    <dxf>
      <numFmt numFmtId="2" formatCode="0.00"/>
    </dxf>
    <dxf>
      <numFmt numFmtId="165" formatCode="0.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Calibri"/>
        <family val="2"/>
        <scheme val="minor"/>
      </font>
      <numFmt numFmtId="1" formatCode="0"/>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numFmt numFmtId="1" formatCode="0"/>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numFmt numFmtId="1" formatCode="0"/>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numFmt numFmtId="1" formatCode="0"/>
      <fill>
        <patternFill patternType="solid">
          <fgColor theme="4" tint="0.59999389629810485"/>
          <bgColor theme="4" tint="0.59999389629810485"/>
        </patternFill>
      </fill>
      <alignment horizontal="center"/>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59999389629810485"/>
          <bgColor theme="4" tint="0.59999389629810485"/>
        </patternFill>
      </fill>
      <alignment horizontal="general" vertical="bottom" textRotation="0" wrapText="0" indent="0" justifyLastLine="0" shrinkToFit="0" readingOrder="0"/>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59999389629810485"/>
          <bgColor theme="4" tint="0.59999389629810485"/>
        </patternFill>
      </fill>
      <alignment horizontal="center"/>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59999389629810485"/>
          <bgColor theme="4" tint="0.59999389629810485"/>
        </patternFill>
      </fill>
      <alignment horizontal="center"/>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59999389629810485"/>
          <bgColor theme="4" tint="0.59999389629810485"/>
        </patternFill>
      </fill>
      <alignment horizontal="center"/>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59999389629810485"/>
          <bgColor theme="4" tint="0.59999389629810485"/>
        </patternFill>
      </fill>
      <alignment horizontal="center"/>
      <border diagonalUp="0" diagonalDown="0">
        <left style="thin">
          <color theme="0"/>
        </left>
        <right style="thin">
          <color theme="0"/>
        </right>
        <top style="thin">
          <color theme="0"/>
        </top>
        <bottom/>
        <vertical/>
        <horizontal/>
      </border>
    </dxf>
    <dxf>
      <fill>
        <patternFill patternType="solid">
          <fgColor theme="4" tint="0.59999389629810485"/>
          <bgColor theme="4" tint="0.59999389629810485"/>
        </patternFill>
      </fill>
      <alignment horizontal="center"/>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alignment horizontal="center"/>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alignment horizontal="center"/>
      <border diagonalUp="0" diagonalDown="0">
        <left style="thin">
          <color theme="0"/>
        </left>
        <right style="thin">
          <color theme="0"/>
        </right>
        <top style="thin">
          <color theme="0"/>
        </top>
        <bottom/>
        <vertical/>
        <horizontal/>
      </border>
    </dxf>
    <dxf>
      <numFmt numFmtId="30" formatCode="@"/>
      <fill>
        <patternFill patternType="solid">
          <fgColor theme="4" tint="0.59999389629810485"/>
          <bgColor theme="4" tint="0.59999389629810485"/>
        </patternFill>
      </fill>
      <border diagonalUp="0" diagonalDown="0">
        <left style="thin">
          <color theme="0"/>
        </left>
        <right style="thin">
          <color theme="0"/>
        </right>
        <top style="thin">
          <color theme="0"/>
        </top>
        <bottom/>
        <vertical/>
        <horizontal/>
      </border>
    </dxf>
    <dxf>
      <border outline="0">
        <top style="thin">
          <color theme="0"/>
        </top>
      </border>
    </dxf>
    <dxf>
      <border outline="0">
        <bottom style="thin">
          <color auto="1"/>
        </bottom>
      </border>
    </dxf>
    <dxf>
      <border outline="0">
        <top style="thin">
          <color auto="1"/>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1"/>
        <color theme="0"/>
        <name val="Calibri"/>
        <family val="2"/>
        <scheme val="minor"/>
      </font>
      <numFmt numFmtId="1" formatCode="0"/>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alignment wrapText="1"/>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wrapText="1"/>
    </dxf>
    <dxf>
      <alignment wrapText="1"/>
    </dxf>
    <dxf>
      <font>
        <b val="0"/>
        <i val="0"/>
        <strike val="0"/>
        <condense val="0"/>
        <extend val="0"/>
        <outline val="0"/>
        <shadow val="0"/>
        <u val="none"/>
        <vertAlign val="baseline"/>
        <sz val="11"/>
        <color rgb="FF000000"/>
        <name val="Calibri"/>
        <scheme val="none"/>
      </font>
      <numFmt numFmtId="30" formatCode="@"/>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rgb="FF000000"/>
        <name val="Calibri"/>
        <scheme val="none"/>
      </font>
    </dxf>
    <dxf>
      <alignment wrapText="1"/>
    </dxf>
    <dxf>
      <numFmt numFmtId="30" formatCode="@"/>
    </dxf>
    <dxf>
      <alignment wrapText="1"/>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pivotSource>
    <c:name>[WorkoutTracker.xlsx]Sheet2!PivotTable1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c:f>
              <c:strCache>
                <c:ptCount val="1"/>
                <c:pt idx="0">
                  <c:v>Total</c:v>
                </c:pt>
              </c:strCache>
            </c:strRef>
          </c:tx>
          <c:spPr>
            <a:ln w="28575" cap="rnd">
              <a:solidFill>
                <a:schemeClr val="accent1"/>
              </a:solidFill>
              <a:round/>
            </a:ln>
            <a:effectLst/>
          </c:spPr>
          <c:marker>
            <c:symbol val="none"/>
          </c:marker>
          <c:cat>
            <c:strRef>
              <c:f>Sheet2!$A$5:$A$8</c:f>
              <c:strCache>
                <c:ptCount val="3"/>
                <c:pt idx="0">
                  <c:v>2025-10-01</c:v>
                </c:pt>
                <c:pt idx="1">
                  <c:v>2025-11-28</c:v>
                </c:pt>
                <c:pt idx="2">
                  <c:v>2025-12-21</c:v>
                </c:pt>
              </c:strCache>
            </c:strRef>
          </c:cat>
          <c:val>
            <c:numRef>
              <c:f>Sheet2!$B$5:$B$8</c:f>
              <c:numCache>
                <c:formatCode>0</c:formatCode>
                <c:ptCount val="3"/>
                <c:pt idx="0">
                  <c:v>25</c:v>
                </c:pt>
                <c:pt idx="1">
                  <c:v>0</c:v>
                </c:pt>
                <c:pt idx="2">
                  <c:v>0</c:v>
                </c:pt>
              </c:numCache>
            </c:numRef>
          </c:val>
          <c:smooth val="0"/>
          <c:extLst>
            <c:ext xmlns:c16="http://schemas.microsoft.com/office/drawing/2014/chart" uri="{C3380CC4-5D6E-409C-BE32-E72D297353CC}">
              <c16:uniqueId val="{00000000-3C1D-4CD7-BA0A-D55DA21A89B3}"/>
            </c:ext>
          </c:extLst>
        </c:ser>
        <c:dLbls>
          <c:showLegendKey val="0"/>
          <c:showVal val="0"/>
          <c:showCatName val="0"/>
          <c:showSerName val="0"/>
          <c:showPercent val="0"/>
          <c:showBubbleSize val="0"/>
        </c:dLbls>
        <c:smooth val="0"/>
        <c:axId val="1737024784"/>
        <c:axId val="1737025744"/>
      </c:lineChart>
      <c:catAx>
        <c:axId val="1737024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DateOnly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737025744"/>
        <c:crosses val="autoZero"/>
        <c:auto val="1"/>
        <c:lblAlgn val="ctr"/>
        <c:lblOffset val="100"/>
        <c:noMultiLvlLbl val="0"/>
      </c:catAx>
      <c:valAx>
        <c:axId val="173702574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TodayWeight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7370247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16</xdr:col>
      <xdr:colOff>504825</xdr:colOff>
      <xdr:row>203</xdr:row>
      <xdr:rowOff>38100</xdr:rowOff>
    </xdr:from>
    <xdr:to>
      <xdr:col>32</xdr:col>
      <xdr:colOff>126359</xdr:colOff>
      <xdr:row>227</xdr:row>
      <xdr:rowOff>126023</xdr:rowOff>
    </xdr:to>
    <xdr:pic>
      <xdr:nvPicPr>
        <xdr:cNvPr id="4" name="Picture 3">
          <a:extLst>
            <a:ext uri="{FF2B5EF4-FFF2-40B4-BE49-F238E27FC236}">
              <a16:creationId xmlns:a16="http://schemas.microsoft.com/office/drawing/2014/main" id="{0BDB57B9-5590-44BC-BC97-70549EA54895}"/>
            </a:ext>
          </a:extLst>
        </xdr:cNvPr>
        <xdr:cNvPicPr>
          <a:picLocks noChangeAspect="1"/>
        </xdr:cNvPicPr>
      </xdr:nvPicPr>
      <xdr:blipFill>
        <a:blip xmlns:r="http://schemas.openxmlformats.org/officeDocument/2006/relationships" r:embed="rId1"/>
        <a:stretch>
          <a:fillRect/>
        </a:stretch>
      </xdr:blipFill>
      <xdr:spPr>
        <a:xfrm>
          <a:off x="20535900" y="38709600"/>
          <a:ext cx="9375134" cy="46599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17</xdr:row>
      <xdr:rowOff>76200</xdr:rowOff>
    </xdr:to>
    <xdr:graphicFrame macro="">
      <xdr:nvGraphicFramePr>
        <xdr:cNvPr id="2" name="Chart 1" descr="Chart type: Line. &#10;&#10;Description automatically generated">
          <a:extLst>
            <a:ext uri="{FF2B5EF4-FFF2-40B4-BE49-F238E27FC236}">
              <a16:creationId xmlns:a16="http://schemas.microsoft.com/office/drawing/2014/main" id="{4E048AB9-820B-5225-38E9-B24C253BB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mmy Søgaard Jensen" refreshedDate="46026.748570833333" createdVersion="8" refreshedVersion="8" minRefreshableVersion="3" recordCount="247" xr:uid="{D6CC2A4F-62A7-4210-A8E9-825058C00EEF}">
  <cacheSource type="worksheet">
    <worksheetSource name="Log"/>
  </cacheSource>
  <cacheFields count="12">
    <cacheField name="Date" numFmtId="49">
      <sharedItems/>
    </cacheField>
    <cacheField name="Type" numFmtId="0">
      <sharedItems containsBlank="1"/>
    </cacheField>
    <cacheField name="Exercise" numFmtId="0">
      <sharedItems count="47">
        <s v="Dumbbell squat (With plate)"/>
        <s v="Farmer’s Walk"/>
        <s v="Hammer Curl"/>
        <s v="Neck Extension (band/machine)"/>
        <s v="Neck Isometric – Extension (hand resistance)"/>
        <s v="Neutral Grip Lat Pulldown"/>
        <s v="Reverse Barbell Curl"/>
        <s v="Row machine (in min)"/>
        <s v="Seated Cable Row (neutral grip)"/>
        <s v="Single-Arm Dumbbell Row"/>
        <s v="Cable Crunch"/>
        <s v="Cable External Rotation (90° elbow)"/>
        <s v="Seated Dumbbell Shoulder Press (slight incline)"/>
        <s v="Stationary Bike (moderate, weekly 45min)"/>
        <s v="Armbøjninger"/>
        <s v="Squat"/>
        <s v="Leg Extension"/>
        <s v="Cable Pallof Press"/>
        <s v="Cable internal rotation (Cable tower)"/>
        <s v="Rope Face Pulls"/>
        <s v="Hanging leg raise"/>
        <s v="Standing Cable Chest Press (split-0stance, neutral grip)"/>
        <s v="Dumbbell Hex Press"/>
        <s v="Lateral raises"/>
        <s v="Bench press"/>
        <s v="Bench dips"/>
        <s v="Incline Dumbbell Press (neutral grip)"/>
        <s v="Triceps pulldown (Cable tower,  narrow-grip)"/>
        <s v="Triceps Rope Pushdown"/>
        <s v="Inclined curls"/>
        <s v="Plank (in sec)"/>
        <s v="Dumbell rows"/>
        <s v="Bulgarian split squat (One leg, fod on bench)"/>
        <s v="Ab wheel rollout"/>
        <s v="Face pulls"/>
        <s v="Seated dumbbell shoulder press"/>
        <s v="Single-arm dumbbell overhead extension"/>
        <s v="Straight arm pulldown cable (Cable tower)"/>
        <s v="KB curl"/>
        <s v="Lat pulldowns"/>
        <s v="Pull up vinkel"/>
        <s v="Split squat (Langt skridt)"/>
        <s v="Deadlift"/>
        <s v="Cross body hammer curls"/>
        <s v="Pike pushup"/>
        <s v="curl (Cable tower)"/>
        <s v="overhead tricep extension cable"/>
      </sharedItems>
    </cacheField>
    <cacheField name="Day" numFmtId="0">
      <sharedItems containsBlank="1" containsMixedTypes="1" containsNumber="1" containsInteger="1" minValue="1" maxValue="9"/>
    </cacheField>
    <cacheField name="LastWeight" numFmtId="1">
      <sharedItems containsBlank="1" containsMixedTypes="1" containsNumber="1" containsInteger="1" minValue="0" maxValue="2260"/>
    </cacheField>
    <cacheField name="TodayWeight" numFmtId="1">
      <sharedItems containsBlank="1" containsMixedTypes="1" containsNumber="1" containsInteger="1" minValue="0" maxValue="2260"/>
    </cacheField>
    <cacheField name="LastReps" numFmtId="1">
      <sharedItems containsString="0" containsBlank="1" containsNumber="1" containsInteger="1" minValue="1" maxValue="90"/>
    </cacheField>
    <cacheField name="TodayReps" numFmtId="1">
      <sharedItems containsSemiMixedTypes="0" containsString="0" containsNumber="1" containsInteger="1" minValue="1" maxValue="90"/>
    </cacheField>
    <cacheField name="DateOnly" numFmtId="49">
      <sharedItems count="34">
        <s v="2025-10-01"/>
        <s v="2025-10-02"/>
        <s v="2025-10-03"/>
        <s v="2025-10-04"/>
        <s v="2025-10-07"/>
        <s v="2025-10-09"/>
        <s v="2025-10-13"/>
        <s v="2025-10-14"/>
        <s v="2025-10-19"/>
        <s v="2025-10-21"/>
        <s v="2025-10-22"/>
        <s v="2025-10-23"/>
        <s v="2025-10-26"/>
        <s v="2025-10-28"/>
        <s v="2025-10-30"/>
        <s v="2025-11-17"/>
        <s v="2025-11-20"/>
        <s v="2025-11-22"/>
        <s v="2025-11-24"/>
        <s v="2025-11-26"/>
        <s v="2025-11-28"/>
        <s v="2025-11-29"/>
        <s v="2025-12-02"/>
        <s v="2025-12-04"/>
        <s v="2025-12-11"/>
        <s v="2025-12-14"/>
        <s v="2025-12-16"/>
        <s v="2025-12-19"/>
        <s v="2025-12-21"/>
        <s v="2025-12-23"/>
        <s v="2025-12-25"/>
        <s v="2025-12-28"/>
        <s v="2025-12-30"/>
        <s v="2026-01-02"/>
      </sharedItems>
    </cacheField>
    <cacheField name="TimeOnly" numFmtId="49">
      <sharedItems containsBlank="1"/>
    </cacheField>
    <cacheField name="Set" numFmtId="1">
      <sharedItems containsString="0" containsBlank="1" containsNumber="1" containsInteger="1" minValue="1" maxValue="3"/>
    </cacheField>
    <cacheField name="__PowerAppsId__" numFmtId="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7">
  <r>
    <s v="01-11-2025 16:00"/>
    <s v="Leg"/>
    <x v="0"/>
    <n v="3"/>
    <n v="20"/>
    <n v="20"/>
    <n v="20"/>
    <n v="20"/>
    <x v="0"/>
    <m/>
    <m/>
    <s v="fed58596-fb2b-4d06-bfec-62801c1ee90b"/>
  </r>
  <r>
    <s v="01-11-2025 16:00"/>
    <s v="Core"/>
    <x v="1"/>
    <n v="2"/>
    <n v="35"/>
    <n v="35"/>
    <n v="3"/>
    <n v="3"/>
    <x v="0"/>
    <m/>
    <m/>
    <s v="aa41095f-fcb1-400d-aae1-fec653468938"/>
  </r>
  <r>
    <s v="01-11-2025 16:00"/>
    <s v="Pull"/>
    <x v="2"/>
    <n v="2"/>
    <n v="15"/>
    <s v="17,5"/>
    <n v="10"/>
    <n v="10"/>
    <x v="0"/>
    <m/>
    <m/>
    <s v="4b531d6c-f4d7-4ce9-a7fa-633032d1f242"/>
  </r>
  <r>
    <s v="01-11-2025 16:00"/>
    <s v="Core"/>
    <x v="3"/>
    <n v="2"/>
    <m/>
    <n v="15"/>
    <m/>
    <n v="12"/>
    <x v="0"/>
    <m/>
    <m/>
    <s v="7f31fb37-d7d7-4513-807f-791a046fe57b"/>
  </r>
  <r>
    <s v="01-11-2025 16:00"/>
    <s v="Core"/>
    <x v="4"/>
    <n v="2"/>
    <m/>
    <n v="15"/>
    <m/>
    <n v="12"/>
    <x v="0"/>
    <m/>
    <m/>
    <s v="4110291d-c9ef-41d6-be17-e9e32482295c"/>
  </r>
  <r>
    <s v="01-11-2025 16:00"/>
    <s v="Core"/>
    <x v="4"/>
    <n v="2"/>
    <m/>
    <n v="15"/>
    <m/>
    <n v="12"/>
    <x v="0"/>
    <m/>
    <m/>
    <s v="24100922-68c6-425c-a81f-b153b69d5b4b"/>
  </r>
  <r>
    <s v="01-11-2025 16:00"/>
    <s v="Pull"/>
    <x v="5"/>
    <n v="2"/>
    <n v="80"/>
    <n v="80"/>
    <n v="12"/>
    <n v="12"/>
    <x v="0"/>
    <m/>
    <m/>
    <s v="e0ba63f2-0506-4e6d-8956-fa1e1ae1426d"/>
  </r>
  <r>
    <s v="01-11-2025 16:00"/>
    <s v="Pull"/>
    <x v="6"/>
    <n v="2"/>
    <m/>
    <n v="25"/>
    <m/>
    <n v="12"/>
    <x v="0"/>
    <m/>
    <m/>
    <s v="b615fca7-620b-4cb9-901b-e24982b54db6"/>
  </r>
  <r>
    <s v="01-11-2025 16:00"/>
    <s v="Core"/>
    <x v="7"/>
    <n v="9"/>
    <m/>
    <m/>
    <n v="3"/>
    <n v="6"/>
    <x v="0"/>
    <m/>
    <m/>
    <s v="148600ea-b01d-4ce5-b532-88c09d1c1048"/>
  </r>
  <r>
    <s v="01-11-2025 16:00"/>
    <s v="Pull"/>
    <x v="8"/>
    <n v="2"/>
    <m/>
    <n v="70"/>
    <m/>
    <n v="12"/>
    <x v="0"/>
    <m/>
    <m/>
    <s v="913558a1-be92-4562-baf2-3eda0e154af8"/>
  </r>
  <r>
    <s v="01-11-2025 16:00"/>
    <s v="Pull"/>
    <x v="9"/>
    <n v="2"/>
    <m/>
    <n v="25"/>
    <m/>
    <n v="12"/>
    <x v="0"/>
    <m/>
    <m/>
    <s v="99cd2155-884e-4c65-9c0b-b7a4df122501"/>
  </r>
  <r>
    <s v="02-11-2025 16:00"/>
    <s v="Core"/>
    <x v="10"/>
    <n v="1"/>
    <n v="80"/>
    <n v="80"/>
    <n v="12"/>
    <n v="12"/>
    <x v="1"/>
    <m/>
    <m/>
    <s v="9fdf28a4-cf0b-4f57-8a48-40e55ce7c6f5"/>
  </r>
  <r>
    <s v="02-11-2025 16:00"/>
    <s v="Pull"/>
    <x v="11"/>
    <n v="1"/>
    <n v="40"/>
    <n v="40"/>
    <n v="12"/>
    <n v="12"/>
    <x v="1"/>
    <m/>
    <m/>
    <s v="bed949b0-9ec0-485f-9f1c-7a92da65d585"/>
  </r>
  <r>
    <s v="02-11-2025 16:00"/>
    <s v="Pull"/>
    <x v="2"/>
    <n v="2"/>
    <s v="17,5"/>
    <s v="17,5"/>
    <n v="10"/>
    <n v="10"/>
    <x v="1"/>
    <m/>
    <m/>
    <s v="f7ea04a5-fda8-4642-8814-07e309792aab"/>
  </r>
  <r>
    <s v="02-11-2025 16:00"/>
    <s v="Push"/>
    <x v="12"/>
    <n v="1"/>
    <n v="30"/>
    <n v="30"/>
    <n v="12"/>
    <n v="12"/>
    <x v="1"/>
    <m/>
    <m/>
    <s v="f3586c62-23ea-487b-b6b1-3861b60f51d8"/>
  </r>
  <r>
    <s v="02-11-2025 16:00"/>
    <s v="Core"/>
    <x v="13"/>
    <n v="9"/>
    <m/>
    <m/>
    <m/>
    <n v="45"/>
    <x v="1"/>
    <m/>
    <m/>
    <s v="c6ad6159-b153-4af3-9e40-288226816663"/>
  </r>
  <r>
    <s v="03-11-2025 23:08"/>
    <s v="Push"/>
    <x v="14"/>
    <n v="9"/>
    <n v="0"/>
    <n v="0"/>
    <n v="20"/>
    <n v="20"/>
    <x v="2"/>
    <m/>
    <m/>
    <s v="9dca7869-8288-46cc-92d7-8a5d8d431d64"/>
  </r>
  <r>
    <s v="04-11-2025 18:37"/>
    <s v="Leg"/>
    <x v="15"/>
    <n v="3"/>
    <n v="60"/>
    <n v="60"/>
    <n v="10"/>
    <n v="10"/>
    <x v="3"/>
    <m/>
    <m/>
    <s v="0cf9fcd5-e65b-446a-9a75-9cfad9684e9b"/>
  </r>
  <r>
    <s v="04-11-2025 18:42"/>
    <s v="Leg"/>
    <x v="16"/>
    <n v="3"/>
    <n v="115"/>
    <n v="115"/>
    <n v="12"/>
    <n v="12"/>
    <x v="3"/>
    <m/>
    <m/>
    <s v="a367791f-fed6-4b1a-b55f-c49f6535dd15"/>
  </r>
  <r>
    <s v="04-11-2025 18:52"/>
    <s v="Core"/>
    <x v="17"/>
    <n v="3"/>
    <n v="15"/>
    <n v="15"/>
    <n v="12"/>
    <n v="12"/>
    <x v="3"/>
    <m/>
    <m/>
    <s v="4d2e612f-a4b3-4895-8b58-309f5d3cadc7"/>
  </r>
  <r>
    <s v="04-11-2025 19:00"/>
    <s v="Pull"/>
    <x v="18"/>
    <n v="1"/>
    <n v="30"/>
    <n v="30"/>
    <n v="12"/>
    <n v="12"/>
    <x v="3"/>
    <m/>
    <m/>
    <s v="7077c24a-8309-4095-b863-8ed985b70c90"/>
  </r>
  <r>
    <s v="04-11-2025 19:07"/>
    <s v="Core"/>
    <x v="7"/>
    <n v="9"/>
    <m/>
    <m/>
    <n v="6"/>
    <n v="3"/>
    <x v="3"/>
    <m/>
    <m/>
    <s v="fc952965-57a4-4a4b-a3ef-2cc100f62be3"/>
  </r>
  <r>
    <s v="04-11-2025 19:08"/>
    <s v="Pull"/>
    <x v="19"/>
    <n v="1"/>
    <n v="60"/>
    <n v="60"/>
    <n v="12"/>
    <n v="12"/>
    <x v="3"/>
    <m/>
    <m/>
    <s v="59616a9c-f593-4151-aa2d-190db124982f"/>
  </r>
  <r>
    <s v="04-11-2025 19:16"/>
    <s v="Leg"/>
    <x v="0"/>
    <n v="3"/>
    <n v="20"/>
    <n v="20"/>
    <n v="20"/>
    <n v="20"/>
    <x v="3"/>
    <m/>
    <m/>
    <s v="dbfb51ef-9248-4c66-80cf-d9a6550c8148"/>
  </r>
  <r>
    <s v="04-11-2025 19:21"/>
    <s v="Core"/>
    <x v="20"/>
    <n v="9"/>
    <n v="0"/>
    <n v="0"/>
    <n v="15"/>
    <n v="15"/>
    <x v="3"/>
    <m/>
    <m/>
    <s v="6b5c3474-fa90-4597-8e41-a2525c85199e"/>
  </r>
  <r>
    <s v="04-11-2025 19:28"/>
    <s v="Push"/>
    <x v="21"/>
    <n v="9"/>
    <n v="30"/>
    <n v="30"/>
    <n v="12"/>
    <n v="12"/>
    <x v="3"/>
    <m/>
    <m/>
    <s v="85b88801-310b-4d8e-bf2f-e2188665ac3d"/>
  </r>
  <r>
    <s v="04-11-2025 19:40"/>
    <s v="Push"/>
    <x v="22"/>
    <n v="9"/>
    <n v="35"/>
    <n v="35"/>
    <n v="12"/>
    <n v="12"/>
    <x v="3"/>
    <m/>
    <m/>
    <s v="fa135e09-04c8-4f2b-b681-26eb9ba48aac"/>
  </r>
  <r>
    <s v="07-11-2025 22:54"/>
    <s v="Push"/>
    <x v="23"/>
    <n v="9"/>
    <n v="8"/>
    <n v="8"/>
    <n v="12"/>
    <n v="12"/>
    <x v="4"/>
    <m/>
    <m/>
    <s v="2d89a75c-ce7c-4f37-b6a8-0e16cbcd2b09"/>
  </r>
  <r>
    <s v="07-11-2025 22:55"/>
    <s v="Push"/>
    <x v="14"/>
    <n v="9"/>
    <n v="0"/>
    <n v="0"/>
    <n v="20"/>
    <n v="20"/>
    <x v="4"/>
    <m/>
    <m/>
    <s v="e0374995-c4dc-4512-acb5-95a7e11c1a27"/>
  </r>
  <r>
    <s v="07-11-2025 23:23"/>
    <s v="Pull"/>
    <x v="2"/>
    <n v="2"/>
    <s v="17,5"/>
    <s v="17,5"/>
    <n v="10"/>
    <n v="10"/>
    <x v="4"/>
    <m/>
    <m/>
    <s v="b60abd87-923e-48d1-99a1-ec126afa68f7"/>
  </r>
  <r>
    <s v="07-11-2025 23:23"/>
    <s v="Core"/>
    <x v="13"/>
    <n v="9"/>
    <m/>
    <m/>
    <n v="45"/>
    <n v="30"/>
    <x v="4"/>
    <m/>
    <m/>
    <s v="32863481-468f-4ab7-b0df-166c91abbc6e"/>
  </r>
  <r>
    <s v="09-11-2025 17:44"/>
    <s v="Core"/>
    <x v="7"/>
    <n v="3"/>
    <m/>
    <m/>
    <n v="3"/>
    <n v="3"/>
    <x v="5"/>
    <m/>
    <m/>
    <s v="750ec24b-3a3a-4d70-bb54-60186e10a5fb"/>
  </r>
  <r>
    <s v="09-11-2025 17:53"/>
    <s v="Push"/>
    <x v="24"/>
    <n v="1"/>
    <n v="50"/>
    <n v="60"/>
    <n v="12"/>
    <n v="10"/>
    <x v="5"/>
    <m/>
    <m/>
    <s v="4bb54001-9c6f-4ccd-b7f8-0775d023df90"/>
  </r>
  <r>
    <s v="09-11-2025 18:02"/>
    <s v="Push"/>
    <x v="25"/>
    <n v="1"/>
    <n v="0"/>
    <n v="0"/>
    <n v="12"/>
    <n v="12"/>
    <x v="5"/>
    <m/>
    <m/>
    <s v="4e122a17-0da4-43fe-a62c-852f9b9756bb"/>
  </r>
  <r>
    <s v="09-11-2025 18:11"/>
    <s v="Push"/>
    <x v="22"/>
    <n v="1"/>
    <n v="35"/>
    <n v="35"/>
    <n v="12"/>
    <n v="12"/>
    <x v="5"/>
    <m/>
    <m/>
    <s v="397ea10c-4b20-4ca4-a229-2d03d6f40372"/>
  </r>
  <r>
    <s v="09-11-2025 18:31"/>
    <s v="Push"/>
    <x v="26"/>
    <n v="1"/>
    <n v="30"/>
    <n v="30"/>
    <n v="12"/>
    <n v="12"/>
    <x v="5"/>
    <m/>
    <m/>
    <s v="61450c21-1ac2-4033-b56f-57ce09bc3fee"/>
  </r>
  <r>
    <s v="09-11-2025 18:45"/>
    <s v="Push"/>
    <x v="12"/>
    <n v="1"/>
    <n v="30"/>
    <n v="35"/>
    <n v="12"/>
    <n v="12"/>
    <x v="5"/>
    <m/>
    <m/>
    <s v="7bb43cf3-65ab-4d6b-a51f-dd5f9f61fbf1"/>
  </r>
  <r>
    <s v="09-11-2025 18:57"/>
    <s v="Push"/>
    <x v="23"/>
    <n v="1"/>
    <n v="8"/>
    <n v="8"/>
    <n v="12"/>
    <n v="12"/>
    <x v="5"/>
    <m/>
    <m/>
    <s v="eaba2408-a838-4b69-86bc-6dbf92e80b2a"/>
  </r>
  <r>
    <s v="09-11-2025 19:08"/>
    <s v="Push"/>
    <x v="27"/>
    <n v="1"/>
    <n v="50"/>
    <n v="55"/>
    <n v="12"/>
    <n v="12"/>
    <x v="5"/>
    <m/>
    <m/>
    <s v="1189bbb9-b8b3-4adc-b6ef-8e23491e156f"/>
  </r>
  <r>
    <s v="09-11-2025 19:24"/>
    <s v="Push"/>
    <x v="21"/>
    <n v="1"/>
    <n v="30"/>
    <n v="35"/>
    <n v="12"/>
    <n v="12"/>
    <x v="5"/>
    <m/>
    <m/>
    <s v="f6053488-32d2-4f16-925e-de771ff0acc4"/>
  </r>
  <r>
    <s v="09-11-2025 19:28"/>
    <s v="Push"/>
    <x v="28"/>
    <n v="1"/>
    <n v="40"/>
    <n v="50"/>
    <n v="12"/>
    <n v="12"/>
    <x v="5"/>
    <m/>
    <m/>
    <s v="e13376ea-af15-4012-be39-c0d9a6e248b5"/>
  </r>
  <r>
    <s v="13-11-2025 22:41"/>
    <s v="Push"/>
    <x v="14"/>
    <s v="H"/>
    <n v="0"/>
    <n v="0"/>
    <n v="20"/>
    <n v="20"/>
    <x v="6"/>
    <m/>
    <m/>
    <s v="cbd2da0b-3410-40e9-8ac7-67d468f9b289"/>
  </r>
  <r>
    <s v="13-11-2025 22:41"/>
    <s v="Pull"/>
    <x v="2"/>
    <s v="H"/>
    <s v="17,5"/>
    <s v="17,5"/>
    <n v="10"/>
    <n v="10"/>
    <x v="6"/>
    <m/>
    <m/>
    <s v="51d859e8-9041-4fe5-bbe0-e875163ddeed"/>
  </r>
  <r>
    <s v="13-11-2025 22:41"/>
    <s v="Pull"/>
    <x v="29"/>
    <s v="H"/>
    <s v="12,5"/>
    <s v="12,5"/>
    <n v="8"/>
    <n v="8"/>
    <x v="6"/>
    <m/>
    <m/>
    <s v="f1521854-b83c-4b52-923b-4091765d9c69"/>
  </r>
  <r>
    <s v="13-11-2025 22:41"/>
    <s v="Core"/>
    <x v="30"/>
    <s v="H"/>
    <n v="0"/>
    <n v="0"/>
    <n v="90"/>
    <n v="90"/>
    <x v="6"/>
    <m/>
    <m/>
    <s v="a440804c-3f26-42c8-8b13-35654917ed80"/>
  </r>
  <r>
    <s v="13-11-2025 22:41"/>
    <s v="Core"/>
    <x v="13"/>
    <s v="H"/>
    <m/>
    <m/>
    <n v="30"/>
    <n v="45"/>
    <x v="6"/>
    <m/>
    <m/>
    <s v="5e012304-4e06-45b8-bcbf-7a345a3d1685"/>
  </r>
  <r>
    <s v="14-11-2025 18:12"/>
    <s v="Core"/>
    <x v="7"/>
    <n v="3"/>
    <m/>
    <m/>
    <n v="3"/>
    <n v="3"/>
    <x v="7"/>
    <m/>
    <m/>
    <s v="ba9ce8d3-fced-4d1d-8117-ddf4ea866dcb"/>
  </r>
  <r>
    <s v="14-11-2025 18:27"/>
    <s v="Core"/>
    <x v="1"/>
    <n v="3"/>
    <n v="35"/>
    <n v="35"/>
    <n v="3"/>
    <n v="3"/>
    <x v="7"/>
    <m/>
    <m/>
    <s v="5e2bfb51-5a56-47c3-81e6-33f9c7c23026"/>
  </r>
  <r>
    <s v="14-11-2025 18:39"/>
    <s v="Leg"/>
    <x v="0"/>
    <n v="3"/>
    <n v="20"/>
    <n v="20"/>
    <n v="20"/>
    <n v="20"/>
    <x v="7"/>
    <m/>
    <m/>
    <s v="5c0d0543-5482-469d-b05b-ae82ec2127f1"/>
  </r>
  <r>
    <s v="14-11-2025 18:42"/>
    <s v="Leg"/>
    <x v="15"/>
    <n v="3"/>
    <n v="60"/>
    <n v="60"/>
    <n v="10"/>
    <n v="10"/>
    <x v="7"/>
    <m/>
    <m/>
    <s v="f755e0b9-7d22-42c8-a26a-d36fee3e13d9"/>
  </r>
  <r>
    <s v="14-11-2025 18:54"/>
    <s v="Pull"/>
    <x v="31"/>
    <n v="2"/>
    <n v="20"/>
    <n v="25"/>
    <n v="12"/>
    <n v="12"/>
    <x v="7"/>
    <m/>
    <m/>
    <s v="dc1e96b0-5ccd-45ef-98f6-1bfba3e4710b"/>
  </r>
  <r>
    <s v="14-11-2025 19:05"/>
    <s v="Leg"/>
    <x v="16"/>
    <n v="3"/>
    <n v="115"/>
    <n v="115"/>
    <n v="12"/>
    <n v="12"/>
    <x v="7"/>
    <m/>
    <m/>
    <s v="628230b8-0064-44cf-ac80-4c4c59a9e0ba"/>
  </r>
  <r>
    <s v="14-11-2025 19:08"/>
    <s v="Core"/>
    <x v="17"/>
    <n v="3"/>
    <n v="15"/>
    <n v="30"/>
    <n v="12"/>
    <n v="12"/>
    <x v="7"/>
    <m/>
    <m/>
    <s v="c4097d39-ee48-4000-85ed-f39c7cc73f30"/>
  </r>
  <r>
    <s v="14-11-2025 19:43"/>
    <s v="Leg"/>
    <x v="32"/>
    <n v="3"/>
    <n v="0"/>
    <n v="0"/>
    <n v="12"/>
    <n v="12"/>
    <x v="7"/>
    <m/>
    <m/>
    <s v="65d7b824-9852-4dd2-8899-7eb34b620741"/>
  </r>
  <r>
    <s v="14-11-2025 19:43"/>
    <s v="Pull"/>
    <x v="11"/>
    <n v="2"/>
    <n v="40"/>
    <n v="35"/>
    <n v="12"/>
    <n v="12"/>
    <x v="7"/>
    <m/>
    <m/>
    <s v="d99d81d2-1407-4e26-9daf-89e1fd071888"/>
  </r>
  <r>
    <s v="19-10-2025 16:00"/>
    <s v="Core"/>
    <x v="33"/>
    <m/>
    <n v="0"/>
    <n v="0"/>
    <n v="10"/>
    <n v="6"/>
    <x v="8"/>
    <m/>
    <m/>
    <s v="cbf72860-53fb-4374-8b0e-2506ec5019df"/>
  </r>
  <r>
    <s v="19-10-2025 16:00"/>
    <s v="Push"/>
    <x v="14"/>
    <m/>
    <n v="0"/>
    <n v="0"/>
    <n v="18"/>
    <n v="18"/>
    <x v="8"/>
    <m/>
    <m/>
    <s v="d4ada435-ded2-4a87-b9c8-675be43db3c2"/>
  </r>
  <r>
    <s v="19-10-2025 16:00"/>
    <s v="Push"/>
    <x v="25"/>
    <m/>
    <n v="0"/>
    <n v="0"/>
    <n v="12"/>
    <n v="12"/>
    <x v="8"/>
    <m/>
    <m/>
    <s v="dfa98865-3822-417f-b491-3078f9cba07b"/>
  </r>
  <r>
    <s v="19-10-2025 16:00"/>
    <s v="Push"/>
    <x v="24"/>
    <m/>
    <n v="50"/>
    <n v="50"/>
    <n v="12"/>
    <n v="12"/>
    <x v="8"/>
    <m/>
    <m/>
    <s v="79b45c73-5bad-4b57-beae-c49773c375fb"/>
  </r>
  <r>
    <s v="19-10-2025 16:00"/>
    <s v="Core"/>
    <x v="10"/>
    <m/>
    <n v="80"/>
    <n v="80"/>
    <n v="12"/>
    <n v="12"/>
    <x v="8"/>
    <m/>
    <m/>
    <s v="15c7c678-7530-4812-abb0-afc8a20b3a59"/>
  </r>
  <r>
    <s v="19-10-2025 16:00"/>
    <s v="Push"/>
    <x v="34"/>
    <m/>
    <n v="50"/>
    <n v="50"/>
    <n v="15"/>
    <n v="15"/>
    <x v="8"/>
    <m/>
    <m/>
    <s v="b1427fb3-3c1c-4d9e-981a-1d09a793f489"/>
  </r>
  <r>
    <s v="19-10-2025 16:00"/>
    <s v="Pull"/>
    <x v="1"/>
    <m/>
    <n v="30"/>
    <n v="30"/>
    <n v="3"/>
    <n v="3"/>
    <x v="8"/>
    <m/>
    <m/>
    <s v="fa7f690b-f6d3-40de-b67a-83db6b86b98d"/>
  </r>
  <r>
    <s v="19-10-2025 16:00"/>
    <s v="Core"/>
    <x v="20"/>
    <m/>
    <n v="0"/>
    <n v="0"/>
    <n v="10"/>
    <n v="15"/>
    <x v="8"/>
    <m/>
    <m/>
    <s v="13ff03bd-11cc-44c0-abad-d3d3c7088c41"/>
  </r>
  <r>
    <s v="19-10-2025 16:00"/>
    <s v="Push"/>
    <x v="26"/>
    <m/>
    <n v="30"/>
    <n v="30"/>
    <n v="10"/>
    <n v="10"/>
    <x v="8"/>
    <m/>
    <m/>
    <s v="8bed39db-2f83-4523-9250-286bfb4fe896"/>
  </r>
  <r>
    <s v="19-10-2025 16:00"/>
    <s v="Push"/>
    <x v="23"/>
    <m/>
    <n v="8"/>
    <n v="8"/>
    <n v="12"/>
    <n v="12"/>
    <x v="8"/>
    <m/>
    <m/>
    <s v="71bb783f-970f-45f6-968e-de00811870e5"/>
  </r>
  <r>
    <s v="19-10-2025 16:00"/>
    <s v="Push"/>
    <x v="35"/>
    <m/>
    <n v="30"/>
    <n v="30"/>
    <n v="10"/>
    <n v="10"/>
    <x v="8"/>
    <m/>
    <m/>
    <s v="e00e4451-690e-432d-a9d6-4fb2b41031ba"/>
  </r>
  <r>
    <s v="19-10-2025 16:00"/>
    <s v="Push"/>
    <x v="36"/>
    <m/>
    <n v="8"/>
    <n v="8"/>
    <n v="12"/>
    <n v="12"/>
    <x v="8"/>
    <m/>
    <m/>
    <s v="7ebc1bba-35bc-42b5-a045-4ec8485ecb20"/>
  </r>
  <r>
    <s v="19-10-2025 16:00"/>
    <s v="Push"/>
    <x v="27"/>
    <m/>
    <n v="50"/>
    <n v="50"/>
    <n v="12"/>
    <n v="12"/>
    <x v="8"/>
    <m/>
    <m/>
    <s v="676144c6-78bf-4479-b2da-eb2ec2e47547"/>
  </r>
  <r>
    <s v="21-10-2025 16:00"/>
    <s v="Pull"/>
    <x v="18"/>
    <m/>
    <n v="30"/>
    <n v="30"/>
    <n v="6"/>
    <n v="6"/>
    <x v="9"/>
    <m/>
    <m/>
    <s v="85e47a46-6beb-43dd-9550-d811b190e089"/>
  </r>
  <r>
    <s v="21-10-2025 16:00"/>
    <s v="Pull"/>
    <x v="31"/>
    <m/>
    <n v="20"/>
    <n v="20"/>
    <n v="12"/>
    <n v="12"/>
    <x v="9"/>
    <m/>
    <m/>
    <s v="205f8080-267b-4771-b64a-3964ebb3f4cc"/>
  </r>
  <r>
    <s v="21-10-2025 16:00"/>
    <s v="Pull"/>
    <x v="2"/>
    <m/>
    <n v="15"/>
    <n v="15"/>
    <n v="10"/>
    <n v="10"/>
    <x v="9"/>
    <m/>
    <m/>
    <s v="594b5922-30b2-4677-a009-5a9b994d8d4f"/>
  </r>
  <r>
    <s v="21-10-2025 16:00"/>
    <s v="Pull"/>
    <x v="37"/>
    <m/>
    <n v="40"/>
    <n v="40"/>
    <n v="12"/>
    <n v="12"/>
    <x v="9"/>
    <m/>
    <m/>
    <s v="ea982216-86ca-4e1f-9d8f-f77b069779f7"/>
  </r>
  <r>
    <s v="22-10-2025 16:00"/>
    <s v="Core"/>
    <x v="30"/>
    <m/>
    <n v="0"/>
    <n v="0"/>
    <n v="60"/>
    <n v="90"/>
    <x v="10"/>
    <m/>
    <m/>
    <s v="72444226-d684-4e9d-a8d5-336ff594e5e0"/>
  </r>
  <r>
    <s v="23-10-2025 16:00"/>
    <s v="Leg"/>
    <x v="0"/>
    <m/>
    <n v="20"/>
    <n v="20"/>
    <n v="12"/>
    <n v="20"/>
    <x v="11"/>
    <m/>
    <m/>
    <s v="b4f8971c-6a69-43a9-a5f0-52b41a829e49"/>
  </r>
  <r>
    <s v="23-10-2025 16:00"/>
    <s v="Pull"/>
    <x v="34"/>
    <m/>
    <n v="60"/>
    <n v="60"/>
    <n v="12"/>
    <n v="12"/>
    <x v="11"/>
    <m/>
    <m/>
    <s v="dd617061-611f-4f2f-a89a-fbc7b7496a18"/>
  </r>
  <r>
    <s v="23-10-2025 16:00"/>
    <s v="Core"/>
    <x v="1"/>
    <m/>
    <n v="30"/>
    <n v="30"/>
    <n v="1"/>
    <n v="3"/>
    <x v="11"/>
    <m/>
    <m/>
    <s v="b281fbab-8b5c-498f-89fc-1ec7fc3b749f"/>
  </r>
  <r>
    <s v="23-10-2025 16:00"/>
    <s v="Pull"/>
    <x v="38"/>
    <m/>
    <n v="60"/>
    <n v="60"/>
    <n v="10"/>
    <n v="10"/>
    <x v="11"/>
    <m/>
    <m/>
    <s v="c444d2bc-d681-4123-ab31-965cca99106a"/>
  </r>
  <r>
    <s v="23-10-2025 16:00"/>
    <s v="Pull"/>
    <x v="39"/>
    <m/>
    <n v="80"/>
    <n v="80"/>
    <n v="8"/>
    <n v="12"/>
    <x v="11"/>
    <m/>
    <m/>
    <s v="51a3e19b-0c23-4d39-a0c7-4cbed1f8b55e"/>
  </r>
  <r>
    <s v="23-10-2025 16:00"/>
    <s v="Leg"/>
    <x v="16"/>
    <m/>
    <n v="0"/>
    <n v="0"/>
    <n v="10"/>
    <n v="20"/>
    <x v="11"/>
    <m/>
    <m/>
    <s v="b016dd2a-3738-4738-a6b4-df1ae26b9fa2"/>
  </r>
  <r>
    <s v="23-10-2025 16:00"/>
    <s v="Leg"/>
    <x v="16"/>
    <m/>
    <n v="115"/>
    <n v="115"/>
    <n v="10"/>
    <n v="12"/>
    <x v="11"/>
    <m/>
    <m/>
    <s v="fb51fbb8-0040-4f6c-8379-30ee6b6efcaf"/>
  </r>
  <r>
    <s v="23-10-2025 16:00"/>
    <s v="Pull"/>
    <x v="40"/>
    <m/>
    <n v="0"/>
    <n v="0"/>
    <n v="5"/>
    <n v="6"/>
    <x v="11"/>
    <m/>
    <m/>
    <s v="1616782d-35ff-40e1-b8c5-7657868c446b"/>
  </r>
  <r>
    <s v="23-10-2025 16:00"/>
    <s v="Core"/>
    <x v="7"/>
    <m/>
    <s v=" "/>
    <s v=" "/>
    <n v="3"/>
    <n v="1"/>
    <x v="11"/>
    <m/>
    <m/>
    <s v="fec7c129-bcd4-425b-97bb-a0b7cbd72850"/>
  </r>
  <r>
    <s v="23-10-2025 16:00"/>
    <s v="Leg"/>
    <x v="15"/>
    <m/>
    <n v="60"/>
    <n v="60"/>
    <n v="8"/>
    <n v="8"/>
    <x v="11"/>
    <m/>
    <m/>
    <s v="ed9ec02e-fa52-4865-a8c4-2606b640e6e4"/>
  </r>
  <r>
    <s v="23-10-2025 16:00"/>
    <s v="Pull"/>
    <x v="37"/>
    <m/>
    <n v="40"/>
    <n v="40"/>
    <n v="12"/>
    <n v="12"/>
    <x v="11"/>
    <m/>
    <m/>
    <s v="b88bcee7-3d22-4046-8a2c-0b179d9db162"/>
  </r>
  <r>
    <s v="26-10-2025 16:00"/>
    <s v="Core"/>
    <x v="10"/>
    <m/>
    <n v="80"/>
    <n v="80"/>
    <n v="12"/>
    <n v="12"/>
    <x v="12"/>
    <m/>
    <m/>
    <s v="e835833c-0d14-41e4-83fb-9c3a20ad8c2a"/>
  </r>
  <r>
    <s v="26-10-2025 16:00"/>
    <s v="Pull"/>
    <x v="11"/>
    <m/>
    <n v="40"/>
    <n v="40"/>
    <n v="12"/>
    <n v="12"/>
    <x v="12"/>
    <m/>
    <m/>
    <s v="b326b2e9-61c5-4809-b09b-9e66f6d5be4c"/>
  </r>
  <r>
    <s v="26-10-2025 16:00"/>
    <s v="Pull"/>
    <x v="18"/>
    <m/>
    <n v="30"/>
    <n v="30"/>
    <n v="6"/>
    <n v="12"/>
    <x v="12"/>
    <m/>
    <m/>
    <s v="674ca225-0c10-4c24-86a3-2f8f9422e038"/>
  </r>
  <r>
    <s v="26-10-2025 16:00"/>
    <s v="Core"/>
    <x v="1"/>
    <m/>
    <n v="30"/>
    <n v="30"/>
    <n v="3"/>
    <n v="3"/>
    <x v="12"/>
    <m/>
    <m/>
    <s v="965c28e2-df4d-4e73-8962-d1016e9431d6"/>
  </r>
  <r>
    <s v="26-10-2025 16:00"/>
    <s v="Push"/>
    <x v="26"/>
    <m/>
    <n v="30"/>
    <n v="30"/>
    <n v="12"/>
    <n v="12"/>
    <x v="12"/>
    <m/>
    <m/>
    <s v="dfa44298-71fa-4b39-92de-4ccb5f5ce04c"/>
  </r>
  <r>
    <s v="26-10-2025 16:00"/>
    <s v="Push"/>
    <x v="26"/>
    <m/>
    <n v="30"/>
    <n v="30"/>
    <n v="12"/>
    <n v="12"/>
    <x v="12"/>
    <m/>
    <m/>
    <s v="58d4683e-f722-4762-a6d9-72f98bb32e5f"/>
  </r>
  <r>
    <s v="26-10-2025 16:00"/>
    <s v="Push"/>
    <x v="26"/>
    <m/>
    <n v="30"/>
    <n v="30"/>
    <n v="12"/>
    <n v="12"/>
    <x v="12"/>
    <m/>
    <m/>
    <s v="8d6d0b0a-1665-40e7-8ddd-3a54f33f5762"/>
  </r>
  <r>
    <s v="26-10-2025 16:00"/>
    <s v="Pull"/>
    <x v="40"/>
    <m/>
    <n v="0"/>
    <n v="0"/>
    <n v="6"/>
    <n v="8"/>
    <x v="12"/>
    <m/>
    <m/>
    <s v="e4fa4f0f-ef27-42f2-865d-67e4c7ebc63c"/>
  </r>
  <r>
    <s v="26-10-2025 16:00"/>
    <s v="Pull"/>
    <x v="19"/>
    <m/>
    <n v="60"/>
    <n v="60"/>
    <n v="12"/>
    <n v="12"/>
    <x v="12"/>
    <m/>
    <m/>
    <s v="1138523b-2378-42c0-9d4a-7ffb7d22a141"/>
  </r>
  <r>
    <s v="26-10-2025 16:00"/>
    <s v="Push"/>
    <x v="12"/>
    <m/>
    <n v="30"/>
    <n v="30"/>
    <n v="10"/>
    <n v="12"/>
    <x v="12"/>
    <m/>
    <m/>
    <s v="80ef0ae7-06df-457f-8ff7-4e845a9048aa"/>
  </r>
  <r>
    <s v="26-10-2025 16:00"/>
    <s v="Pull"/>
    <x v="37"/>
    <m/>
    <n v="40"/>
    <n v="40"/>
    <n v="12"/>
    <n v="12"/>
    <x v="12"/>
    <m/>
    <m/>
    <s v="d8f02e4b-53c4-4d15-aef3-207929a44d48"/>
  </r>
  <r>
    <s v="26-10-2025 16:00"/>
    <s v="Push"/>
    <x v="28"/>
    <m/>
    <n v="40"/>
    <n v="40"/>
    <n v="12"/>
    <n v="12"/>
    <x v="12"/>
    <m/>
    <m/>
    <s v="80786dbb-8aca-4287-b212-dba2274d6ea6"/>
  </r>
  <r>
    <s v="28-10-2025 16:00"/>
    <s v="Leg"/>
    <x v="32"/>
    <m/>
    <n v="0"/>
    <n v="0"/>
    <n v="8"/>
    <n v="12"/>
    <x v="13"/>
    <m/>
    <m/>
    <s v="332f35ac-3517-477d-ac19-c5cd4682c849"/>
  </r>
  <r>
    <s v="28-10-2025 16:00"/>
    <s v="Leg"/>
    <x v="0"/>
    <m/>
    <n v="20"/>
    <n v="20"/>
    <n v="20"/>
    <n v="20"/>
    <x v="13"/>
    <m/>
    <m/>
    <s v="a31dcff5-b0d8-440e-bd6b-be12563b1f56"/>
  </r>
  <r>
    <s v="28-10-2025 16:00"/>
    <s v="Core"/>
    <x v="1"/>
    <m/>
    <n v="35"/>
    <n v="35"/>
    <n v="3"/>
    <n v="3"/>
    <x v="13"/>
    <m/>
    <m/>
    <s v="61ebc10a-6396-40e2-abdd-442f417f2f82"/>
  </r>
  <r>
    <s v="28-10-2025 16:00"/>
    <s v="Leg"/>
    <x v="16"/>
    <m/>
    <n v="115"/>
    <n v="115"/>
    <n v="12"/>
    <n v="12"/>
    <x v="13"/>
    <m/>
    <m/>
    <s v="759a0936-5f0f-4af7-8931-205b88e50c25"/>
  </r>
  <r>
    <s v="28-10-2025 16:00"/>
    <s v="Pull"/>
    <x v="5"/>
    <m/>
    <n v="80"/>
    <n v="80"/>
    <n v="12"/>
    <n v="12"/>
    <x v="13"/>
    <m/>
    <m/>
    <s v="bc830524-3d90-4089-a202-ea6bbbd57062"/>
  </r>
  <r>
    <s v="28-10-2025 16:00"/>
    <s v="Core"/>
    <x v="7"/>
    <m/>
    <m/>
    <m/>
    <n v="3"/>
    <n v="3"/>
    <x v="13"/>
    <m/>
    <m/>
    <s v="f3cb82a4-8959-421e-97cb-6ca2aeb80535"/>
  </r>
  <r>
    <s v="28-10-2025 16:00"/>
    <s v="Leg"/>
    <x v="15"/>
    <m/>
    <n v="60"/>
    <n v="60"/>
    <n v="8"/>
    <n v="10"/>
    <x v="13"/>
    <m/>
    <m/>
    <s v="3b6793f7-0f0a-40ab-a39d-e6bad8814629"/>
  </r>
  <r>
    <s v="30-10-2025 16:00"/>
    <s v="Core"/>
    <x v="10"/>
    <n v="1"/>
    <n v="80"/>
    <n v="80"/>
    <n v="12"/>
    <n v="12"/>
    <x v="14"/>
    <m/>
    <m/>
    <s v="c22eafec-b26c-40cc-8c36-954915284d4f"/>
  </r>
  <r>
    <s v="30-10-2025 16:00"/>
    <s v="Pull"/>
    <x v="11"/>
    <n v="1"/>
    <n v="40"/>
    <n v="40"/>
    <n v="12"/>
    <n v="12"/>
    <x v="14"/>
    <m/>
    <m/>
    <s v="2e733e67-2ea4-4145-afae-1b019f9b6e2a"/>
  </r>
  <r>
    <s v="30-10-2025 16:00"/>
    <s v="Pull"/>
    <x v="18"/>
    <n v="1"/>
    <n v="30"/>
    <n v="30"/>
    <n v="12"/>
    <n v="12"/>
    <x v="14"/>
    <m/>
    <m/>
    <s v="39c1f734-f5b3-476e-bc26-77d41e70e6dc"/>
  </r>
  <r>
    <s v="30-10-2025 16:00"/>
    <s v="Pull"/>
    <x v="2"/>
    <n v="1"/>
    <n v="15"/>
    <n v="15"/>
    <n v="10"/>
    <n v="10"/>
    <x v="14"/>
    <m/>
    <m/>
    <s v="c2b72f07-c353-4a3d-b320-546c83fe330c"/>
  </r>
  <r>
    <s v="30-10-2025 16:00"/>
    <s v="Pull"/>
    <x v="40"/>
    <n v="1"/>
    <n v="0"/>
    <n v="0"/>
    <n v="8"/>
    <n v="8"/>
    <x v="14"/>
    <m/>
    <m/>
    <s v="5abbed67-e2c6-4f26-8610-1a9d99b9354a"/>
  </r>
  <r>
    <s v="30-10-2025 16:00"/>
    <s v="Pull"/>
    <x v="19"/>
    <n v="1"/>
    <n v="60"/>
    <n v="60"/>
    <n v="12"/>
    <n v="12"/>
    <x v="14"/>
    <m/>
    <m/>
    <s v="15b52097-b7f8-49a5-8751-890b8d39b116"/>
  </r>
  <r>
    <s v="30-10-2025 16:00"/>
    <s v="Core"/>
    <x v="7"/>
    <n v="1"/>
    <s v=" "/>
    <m/>
    <n v="3"/>
    <n v="3"/>
    <x v="14"/>
    <m/>
    <m/>
    <s v="8dcd5fd8-38ac-469d-a155-e229dcb09949"/>
  </r>
  <r>
    <s v="30-10-2025 16:00"/>
    <s v="Push"/>
    <x v="12"/>
    <n v="1"/>
    <n v="30"/>
    <n v="30"/>
    <n v="12"/>
    <n v="12"/>
    <x v="14"/>
    <m/>
    <m/>
    <s v="2d328fe3-7e7f-4f80-9000-ecc4e19bfe51"/>
  </r>
  <r>
    <s v="30-10-2025 16:00"/>
    <s v="Pull"/>
    <x v="37"/>
    <n v="1"/>
    <n v="40"/>
    <n v="40"/>
    <n v="12"/>
    <n v="12"/>
    <x v="14"/>
    <m/>
    <m/>
    <s v="c3ebebeb-862d-4543-aebb-bf2a42e987ed"/>
  </r>
  <r>
    <s v="30-10-2025 16:00"/>
    <s v="Push"/>
    <x v="28"/>
    <n v="1"/>
    <n v="40"/>
    <n v="40"/>
    <n v="12"/>
    <n v="12"/>
    <x v="14"/>
    <m/>
    <m/>
    <s v="5a71600a-cb04-4b3e-81a3-19ce53bc0667"/>
  </r>
  <r>
    <s v="17-11-2025 18:32"/>
    <s v="Core"/>
    <x v="7"/>
    <s v="O"/>
    <m/>
    <m/>
    <n v="3"/>
    <n v="3"/>
    <x v="15"/>
    <s v="17:32:39"/>
    <n v="1"/>
    <s v="9e27928d-a3b2-4095-8eb9-56c80bb2d462"/>
  </r>
  <r>
    <s v="17-11-2025 18:40"/>
    <s v="Pull"/>
    <x v="40"/>
    <n v="2"/>
    <n v="0"/>
    <n v="0"/>
    <n v="8"/>
    <n v="8"/>
    <x v="15"/>
    <s v="17:40:56"/>
    <n v="3"/>
    <s v="18cc549d-036e-4829-a41e-30c7f8bbb850"/>
  </r>
  <r>
    <s v="17-11-2025 18:55"/>
    <s v="Push"/>
    <x v="22"/>
    <n v="1"/>
    <n v="35"/>
    <n v="40"/>
    <n v="12"/>
    <n v="12"/>
    <x v="15"/>
    <s v="17:55:21"/>
    <n v="3"/>
    <s v="cf24b1e4-69e7-4fbd-9fd8-f22a2e9279bb"/>
  </r>
  <r>
    <s v="17-11-2025 19:06"/>
    <s v="Push"/>
    <x v="25"/>
    <n v="1"/>
    <n v="0"/>
    <n v="0"/>
    <n v="12"/>
    <n v="12"/>
    <x v="15"/>
    <s v="18:06:50"/>
    <n v="3"/>
    <s v="0122f5da-ec79-49b2-a985-1d817be3584a"/>
  </r>
  <r>
    <s v="17-11-2025 19:11"/>
    <s v="Leg"/>
    <x v="0"/>
    <n v="3"/>
    <n v="20"/>
    <n v="20"/>
    <n v="20"/>
    <n v="20"/>
    <x v="15"/>
    <s v="18:11:56"/>
    <n v="3"/>
    <s v="1ab4d4a9-e329-4d29-86b2-dafd194ca8d0"/>
  </r>
  <r>
    <s v="17-11-2025 19:13"/>
    <s v="Push"/>
    <x v="27"/>
    <n v="1"/>
    <n v="55"/>
    <n v="55"/>
    <n v="12"/>
    <n v="12"/>
    <x v="15"/>
    <s v="18:13:07"/>
    <n v="3"/>
    <s v="d24c39e9-5b1c-4847-9333-8021d5d5233e"/>
  </r>
  <r>
    <s v="17-11-2025 19:20"/>
    <s v="Push"/>
    <x v="23"/>
    <n v="1"/>
    <n v="8"/>
    <n v="8"/>
    <n v="12"/>
    <n v="12"/>
    <x v="15"/>
    <s v="18:20:00"/>
    <n v="3"/>
    <s v="d35df0cf-c25f-41f5-8905-5d8322a3f171"/>
  </r>
  <r>
    <s v="17-11-2025 19:20"/>
    <s v="Leg"/>
    <x v="41"/>
    <n v="3"/>
    <n v="0"/>
    <n v="0"/>
    <n v="20"/>
    <n v="20"/>
    <x v="15"/>
    <s v="18:20:26"/>
    <n v="3"/>
    <s v="3ebe3569-0a98-4cb4-b856-f9fb80c1c885"/>
  </r>
  <r>
    <s v="17-11-2025 19:27"/>
    <s v="Push"/>
    <x v="28"/>
    <n v="1"/>
    <n v="50"/>
    <n v="55"/>
    <n v="12"/>
    <n v="12"/>
    <x v="15"/>
    <s v="18:27:28"/>
    <n v="3"/>
    <s v="9ddd6352-5666-4821-8ea9-5f5771f41530"/>
  </r>
  <r>
    <s v="20-11-2025 20:06"/>
    <s v="Push"/>
    <x v="14"/>
    <s v="H"/>
    <m/>
    <m/>
    <n v="20"/>
    <n v="20"/>
    <x v="16"/>
    <s v="19:06:38"/>
    <n v="3"/>
    <s v="c7978eef-0e45-4ddb-8719-ff4da1de95b0"/>
  </r>
  <r>
    <s v="20-11-2025 21:34"/>
    <s v="Core"/>
    <x v="30"/>
    <s v="H"/>
    <n v="0"/>
    <n v="0"/>
    <n v="90"/>
    <n v="90"/>
    <x v="16"/>
    <s v="20:34:51"/>
    <n v="3"/>
    <s v="6549e00b-e7d6-40b0-9f3a-4ee052bc38d9"/>
  </r>
  <r>
    <s v="20-11-2025 22:43"/>
    <s v="Pull"/>
    <x v="2"/>
    <s v="H"/>
    <s v="17,5"/>
    <s v="17,5"/>
    <n v="10"/>
    <n v="10"/>
    <x v="16"/>
    <s v="21:43:06"/>
    <n v="3"/>
    <s v="f66b0364-4376-44dc-9ac7-3bf4aca5d3da"/>
  </r>
  <r>
    <s v="20-11-2025 22:43"/>
    <s v="Core"/>
    <x v="13"/>
    <s v="H"/>
    <m/>
    <m/>
    <n v="45"/>
    <n v="45"/>
    <x v="16"/>
    <s v="21:43:14"/>
    <n v="1"/>
    <s v="cb42f91b-05bb-47ed-969e-f54226132ffe"/>
  </r>
  <r>
    <s v="22-11-2025 15:22"/>
    <s v="Core"/>
    <x v="7"/>
    <s v="O"/>
    <m/>
    <m/>
    <n v="3"/>
    <n v="3"/>
    <x v="17"/>
    <s v="14:22:13"/>
    <n v="1"/>
    <s v="21ca1e70-6734-49cd-84bf-8dee0641a03e"/>
  </r>
  <r>
    <s v="22-11-2025 15:30"/>
    <s v="Core"/>
    <x v="1"/>
    <n v="3"/>
    <n v="35"/>
    <n v="40"/>
    <n v="3"/>
    <n v="3"/>
    <x v="17"/>
    <s v="14:30:21"/>
    <n v="3"/>
    <s v="70fd3cbe-f61b-488c-8517-904b9f3154ae"/>
  </r>
  <r>
    <s v="22-11-2025 15:39"/>
    <s v="Leg"/>
    <x v="15"/>
    <n v="3"/>
    <n v="60"/>
    <n v="60"/>
    <n v="10"/>
    <n v="12"/>
    <x v="17"/>
    <s v="14:39:26"/>
    <n v="3"/>
    <s v="f0040f60-1ee1-4184-930e-9b82bc6a3aa1"/>
  </r>
  <r>
    <s v="22-11-2025 15:57"/>
    <s v="Pull"/>
    <x v="42"/>
    <n v="9"/>
    <n v="60"/>
    <n v="60"/>
    <n v="6"/>
    <n v="6"/>
    <x v="17"/>
    <s v="14:57:53"/>
    <n v="3"/>
    <s v="cf920b8d-767b-42ac-9d28-7e5fe9a4a141"/>
  </r>
  <r>
    <s v="22-11-2025 16:13"/>
    <s v="Leg"/>
    <x v="16"/>
    <n v="3"/>
    <n v="115"/>
    <n v="130"/>
    <n v="12"/>
    <n v="12"/>
    <x v="17"/>
    <s v="15:13:05"/>
    <n v="3"/>
    <s v="dac38d63-2c3c-48d7-a4d8-1cc3c19db7eb"/>
  </r>
  <r>
    <s v="22-11-2025 16:27"/>
    <s v="Pull"/>
    <x v="31"/>
    <n v="2"/>
    <n v="25"/>
    <s v="27,5"/>
    <n v="12"/>
    <n v="12"/>
    <x v="17"/>
    <s v="15:27:47"/>
    <n v="3"/>
    <s v="12c4c8bc-5fc6-4901-b112-0b7736badf14"/>
  </r>
  <r>
    <s v="22-11-2025 16:44"/>
    <s v="Pull"/>
    <x v="19"/>
    <n v="2"/>
    <n v="60"/>
    <n v="60"/>
    <n v="12"/>
    <n v="12"/>
    <x v="17"/>
    <s v="15:44:44"/>
    <n v="3"/>
    <s v="1fd24337-d344-4965-b274-c0904790e86f"/>
  </r>
  <r>
    <s v="22-11-2025 17:44"/>
    <s v="Push"/>
    <x v="22"/>
    <n v="1"/>
    <n v="40"/>
    <n v="40"/>
    <n v="12"/>
    <n v="12"/>
    <x v="17"/>
    <s v="16:44:35"/>
    <n v="3"/>
    <s v="6eaf009c-050f-406a-863d-089da4c429c7"/>
  </r>
  <r>
    <s v="24-11-2025 22:12"/>
    <s v="Push"/>
    <x v="14"/>
    <s v="H"/>
    <m/>
    <m/>
    <n v="20"/>
    <n v="20"/>
    <x v="18"/>
    <s v="21:12:43"/>
    <n v="3"/>
    <s v="8dee0584-3ac4-4213-b1d6-0323a2f9990c"/>
  </r>
  <r>
    <s v="24-11-2025 22:13"/>
    <s v="Pull"/>
    <x v="2"/>
    <s v="H"/>
    <s v="17,5"/>
    <s v="17,5"/>
    <n v="10"/>
    <n v="12"/>
    <x v="18"/>
    <s v="21:13:02"/>
    <n v="3"/>
    <s v="fd083d1b-3557-4ed7-893e-ab2f73266084"/>
  </r>
  <r>
    <s v="24-11-2025 22:21"/>
    <m/>
    <x v="43"/>
    <s v="H"/>
    <n v="15"/>
    <s v="17,5"/>
    <n v="20"/>
    <n v="12"/>
    <x v="18"/>
    <s v="21:21:05"/>
    <m/>
    <s v="992bf010-cd82-43b1-9e9f-797797e6e089"/>
  </r>
  <r>
    <s v="26-11-2025 18:46"/>
    <s v="Core"/>
    <x v="7"/>
    <s v="O"/>
    <m/>
    <m/>
    <n v="3"/>
    <n v="3"/>
    <x v="19"/>
    <s v="17:46:02"/>
    <n v="1"/>
    <s v="dc745ee3-60e1-4ca3-84d2-f071474bb1ee"/>
  </r>
  <r>
    <s v="26-11-2025 18:47"/>
    <s v="Core"/>
    <x v="30"/>
    <s v="H"/>
    <n v="0"/>
    <n v="0"/>
    <n v="90"/>
    <n v="90"/>
    <x v="19"/>
    <s v="17:47:01"/>
    <n v="3"/>
    <s v="76c61775-349a-4fc8-a57f-d148f3cea1bd"/>
  </r>
  <r>
    <s v="26-11-2025 18:47"/>
    <s v="Core"/>
    <x v="13"/>
    <s v="H"/>
    <m/>
    <m/>
    <n v="45"/>
    <n v="45"/>
    <x v="19"/>
    <s v="17:47:05"/>
    <n v="1"/>
    <s v="45f0ca52-bf64-4134-a9bf-fd129a8d74a5"/>
  </r>
  <r>
    <s v="26-11-2025 19:00"/>
    <s v="Push"/>
    <x v="24"/>
    <n v="1"/>
    <n v="60"/>
    <n v="60"/>
    <n v="10"/>
    <n v="11"/>
    <x v="19"/>
    <s v="18:00:08"/>
    <n v="3"/>
    <s v="a6379af4-f38e-4055-8511-8baadb9ab613"/>
  </r>
  <r>
    <s v="26-11-2025 19:16"/>
    <s v="Leg"/>
    <x v="0"/>
    <n v="3"/>
    <n v="20"/>
    <n v="20"/>
    <n v="20"/>
    <n v="22"/>
    <x v="19"/>
    <s v="18:16:26"/>
    <n v="3"/>
    <s v="c803f36d-cc36-4dbf-bea7-987a79a22733"/>
  </r>
  <r>
    <s v="26-11-2025 19:26"/>
    <s v="Pull"/>
    <x v="40"/>
    <n v="2"/>
    <n v="0"/>
    <n v="0"/>
    <n v="8"/>
    <n v="8"/>
    <x v="19"/>
    <s v="18:26:24"/>
    <n v="3"/>
    <s v="fef56731-9082-49c7-a948-3d36c4b9ebc8"/>
  </r>
  <r>
    <s v="26-11-2025 19:34"/>
    <s v="Core"/>
    <x v="20"/>
    <n v="3"/>
    <n v="0"/>
    <n v="0"/>
    <n v="15"/>
    <n v="16"/>
    <x v="19"/>
    <s v="18:34:44"/>
    <n v="3"/>
    <s v="531029ad-0032-4b1c-8d15-5b66406185d8"/>
  </r>
  <r>
    <s v="26-11-2025 19:44"/>
    <s v="Push"/>
    <x v="22"/>
    <n v="1"/>
    <n v="40"/>
    <n v="40"/>
    <n v="12"/>
    <n v="12"/>
    <x v="19"/>
    <s v="18:44:14"/>
    <n v="3"/>
    <s v="32f61ff3-86cd-4eb0-9305-85ae0e87ac24"/>
  </r>
  <r>
    <s v="26-11-2025 19:44"/>
    <s v="Leg"/>
    <x v="41"/>
    <n v="3"/>
    <n v="0"/>
    <n v="0"/>
    <n v="20"/>
    <n v="24"/>
    <x v="19"/>
    <s v="18:44:55"/>
    <n v="3"/>
    <s v="35ef12fa-1652-4252-857e-da264b0f90a6"/>
  </r>
  <r>
    <s v="26-11-2025 20:05"/>
    <s v="Core"/>
    <x v="17"/>
    <n v="3"/>
    <n v="30"/>
    <n v="30"/>
    <n v="12"/>
    <n v="12"/>
    <x v="19"/>
    <s v="19:05:04"/>
    <n v="3"/>
    <s v="31b550d1-a311-43c4-9a6a-017fa20a84d0"/>
  </r>
  <r>
    <s v="26-11-2025 20:05"/>
    <s v="Pull"/>
    <x v="8"/>
    <n v="2"/>
    <n v="70"/>
    <n v="85"/>
    <n v="12"/>
    <n v="12"/>
    <x v="19"/>
    <s v="19:05:46"/>
    <n v="3"/>
    <s v="18866d20-d290-4109-803d-c0951c9b9fc9"/>
  </r>
  <r>
    <s v="28-11-2025 18:37"/>
    <s v="Leg"/>
    <x v="15"/>
    <n v="3"/>
    <n v="60"/>
    <n v="70"/>
    <n v="12"/>
    <n v="12"/>
    <x v="20"/>
    <s v="17:37:27"/>
    <n v="3"/>
    <s v="bbe40a34-c635-4c59-8e21-7f5673cfc3a9"/>
  </r>
  <r>
    <s v="28-11-2025 18:43"/>
    <s v="Leg"/>
    <x v="16"/>
    <n v="3"/>
    <n v="130"/>
    <n v="130"/>
    <n v="12"/>
    <n v="12"/>
    <x v="20"/>
    <s v="17:43:18"/>
    <n v="3"/>
    <s v="a7f0c1ea-2ff7-43ad-b9af-cbee00027d66"/>
  </r>
  <r>
    <s v="28-11-2025 18:52"/>
    <s v="Pull"/>
    <x v="9"/>
    <n v="2"/>
    <n v="25"/>
    <s v="27,5"/>
    <n v="12"/>
    <n v="12"/>
    <x v="20"/>
    <s v="17:52:37"/>
    <n v="3"/>
    <s v="f70a31e1-494b-4069-9140-1c823a38b149"/>
  </r>
  <r>
    <s v="28-11-2025 19:03"/>
    <s v="Pull"/>
    <x v="19"/>
    <n v="2"/>
    <n v="60"/>
    <n v="70"/>
    <n v="12"/>
    <n v="12"/>
    <x v="20"/>
    <s v="18:03:05"/>
    <n v="3"/>
    <s v="90fa907f-5a5a-45b6-b998-6c4101090122"/>
  </r>
  <r>
    <s v="28-11-2025 19:07"/>
    <s v="Pull"/>
    <x v="37"/>
    <n v="2"/>
    <n v="40"/>
    <n v="45"/>
    <n v="12"/>
    <n v="12"/>
    <x v="20"/>
    <s v="18:07:13"/>
    <n v="3"/>
    <s v="23e6e769-c058-4e8a-8c2d-20c649160b2f"/>
  </r>
  <r>
    <s v="28-11-2025 19:14"/>
    <s v="Core"/>
    <x v="33"/>
    <n v="9"/>
    <n v="0"/>
    <n v="0"/>
    <n v="6"/>
    <n v="6"/>
    <x v="20"/>
    <s v="18:14:01"/>
    <n v="3"/>
    <s v="cb22efda-6c60-4ede-9380-5a6044bba6e3"/>
  </r>
  <r>
    <s v="28-11-2025 19:28"/>
    <s v="Push"/>
    <x v="25"/>
    <n v="1"/>
    <n v="0"/>
    <n v="0"/>
    <n v="12"/>
    <n v="12"/>
    <x v="20"/>
    <s v="18:28:14"/>
    <n v="3"/>
    <s v="c94d3744-f928-4611-975e-c2469ee25509"/>
  </r>
  <r>
    <s v="28-11-2025 19:38"/>
    <s v="Core"/>
    <x v="1"/>
    <n v="3"/>
    <n v="40"/>
    <n v="40"/>
    <n v="3"/>
    <n v="3"/>
    <x v="20"/>
    <s v="18:38:43"/>
    <n v="3"/>
    <s v="0070e368-b98a-44cc-9cdc-b23463f67505"/>
  </r>
  <r>
    <s v="29-11-2025 02:05"/>
    <s v="Core"/>
    <x v="7"/>
    <s v="O"/>
    <m/>
    <m/>
    <n v="3"/>
    <n v="3"/>
    <x v="21"/>
    <s v="01:05:28"/>
    <n v="1"/>
    <s v="0e43ea5b-80f1-4893-ac3b-0b606f0f6b6e"/>
  </r>
  <r>
    <s v="29-11-2025 02:05"/>
    <s v="Core"/>
    <x v="7"/>
    <s v="O"/>
    <m/>
    <m/>
    <n v="3"/>
    <n v="3"/>
    <x v="21"/>
    <s v="01:05:37"/>
    <n v="1"/>
    <s v="9d0cef8f-5ab9-4326-90f2-4f88322c57e9"/>
  </r>
  <r>
    <s v="02-12-2025 18:35"/>
    <s v="Core"/>
    <x v="7"/>
    <s v="O"/>
    <m/>
    <m/>
    <n v="3"/>
    <n v="3"/>
    <x v="22"/>
    <s v="17:35:42"/>
    <n v="1"/>
    <s v="87d3df05-d6ce-498b-805a-3cedffdfd503"/>
  </r>
  <r>
    <s v="02-12-2025 18:39"/>
    <s v="Pull"/>
    <x v="40"/>
    <n v="2"/>
    <n v="0"/>
    <n v="0"/>
    <n v="8"/>
    <n v="8"/>
    <x v="22"/>
    <s v="17:39:01"/>
    <n v="3"/>
    <s v="71c72410-8082-4233-9676-14cb5cb4cf76"/>
  </r>
  <r>
    <s v="02-12-2025 18:45"/>
    <s v="Pull"/>
    <x v="8"/>
    <n v="2"/>
    <n v="85"/>
    <n v="85"/>
    <n v="12"/>
    <n v="12"/>
    <x v="22"/>
    <s v="17:45:14"/>
    <n v="3"/>
    <s v="ab8e5fc5-9256-41be-925e-93cf5d01abfd"/>
  </r>
  <r>
    <s v="02-12-2025 18:56"/>
    <s v="Pull"/>
    <x v="19"/>
    <n v="2"/>
    <n v="70"/>
    <n v="70"/>
    <n v="12"/>
    <n v="12"/>
    <x v="22"/>
    <s v="17:56:48"/>
    <n v="3"/>
    <s v="32d02cba-67c1-4b55-894c-048e8d2644b3"/>
  </r>
  <r>
    <s v="02-12-2025 18:57"/>
    <s v="Leg"/>
    <x v="41"/>
    <n v="3"/>
    <n v="0"/>
    <n v="0"/>
    <n v="24"/>
    <n v="24"/>
    <x v="22"/>
    <s v="17:57:00"/>
    <n v="3"/>
    <s v="f2e35220-4856-4e9a-8d04-406237db9d8b"/>
  </r>
  <r>
    <s v="02-12-2025 19:04"/>
    <s v="Pull"/>
    <x v="11"/>
    <n v="2"/>
    <n v="35"/>
    <n v="35"/>
    <n v="12"/>
    <n v="12"/>
    <x v="22"/>
    <s v="18:04:44"/>
    <n v="3"/>
    <s v="3d8f84ea-ecbe-40d3-a092-2e1cfb6bc2c8"/>
  </r>
  <r>
    <s v="02-12-2025 19:04"/>
    <s v="Pull"/>
    <x v="11"/>
    <n v="2"/>
    <n v="35"/>
    <n v="35"/>
    <n v="12"/>
    <n v="12"/>
    <x v="22"/>
    <s v="18:04:53"/>
    <n v="3"/>
    <s v="0fb4f4f8-4b24-45e8-8776-1d7ebbedf0fe"/>
  </r>
  <r>
    <s v="02-12-2025 19:14"/>
    <s v="Pull"/>
    <x v="6"/>
    <n v="2"/>
    <n v="25"/>
    <n v="30"/>
    <n v="12"/>
    <n v="12"/>
    <x v="22"/>
    <s v="18:14:22"/>
    <n v="3"/>
    <s v="7f726de1-b1ce-44bb-8c05-ab8d528c56ed"/>
  </r>
  <r>
    <s v="02-12-2025 19:23"/>
    <s v="Pull"/>
    <x v="37"/>
    <n v="2"/>
    <n v="45"/>
    <n v="45"/>
    <n v="12"/>
    <n v="12"/>
    <x v="22"/>
    <s v="18:23:26"/>
    <n v="3"/>
    <s v="fa18fdba-508d-4e63-a2be-0340f8ebced6"/>
  </r>
  <r>
    <s v="04-12-2025 21:18"/>
    <s v="Push"/>
    <x v="14"/>
    <s v="H"/>
    <m/>
    <m/>
    <n v="20"/>
    <n v="20"/>
    <x v="23"/>
    <s v="20:18:56"/>
    <n v="3"/>
    <s v="6a0b3c31-a0f9-448e-92ba-bd7700965c16"/>
  </r>
  <r>
    <s v="04-12-2025 22:02"/>
    <s v="Pull"/>
    <x v="2"/>
    <s v="H"/>
    <s v="17,5"/>
    <s v="17,5"/>
    <n v="12"/>
    <n v="12"/>
    <x v="23"/>
    <s v="21:02:58"/>
    <n v="3"/>
    <s v="2439508d-ee33-43f2-8f14-067de6b65ae9"/>
  </r>
  <r>
    <s v="04-12-2025 22:03"/>
    <m/>
    <x v="43"/>
    <s v="H"/>
    <s v="17,5"/>
    <s v="17,5"/>
    <n v="12"/>
    <n v="12"/>
    <x v="23"/>
    <s v="21:03:04"/>
    <m/>
    <s v="240a6baa-5a42-4c3b-b714-0311ead24982"/>
  </r>
  <r>
    <s v="04-12-2025 22:36"/>
    <s v="Core"/>
    <x v="13"/>
    <s v="H"/>
    <m/>
    <m/>
    <n v="45"/>
    <n v="45"/>
    <x v="23"/>
    <s v="21:36:28"/>
    <n v="1"/>
    <s v="2a085c77-2f49-4455-836e-c979b4aff322"/>
  </r>
  <r>
    <s v="04-12-2025 22:36"/>
    <s v="Core"/>
    <x v="13"/>
    <s v="H"/>
    <m/>
    <m/>
    <n v="45"/>
    <n v="45"/>
    <x v="23"/>
    <s v="21:36:45"/>
    <n v="1"/>
    <s v="1d84d0ec-fb7b-408a-9e44-e21df28e2b85"/>
  </r>
  <r>
    <s v="11-12-2025 18:37"/>
    <s v="Core"/>
    <x v="7"/>
    <s v="O"/>
    <m/>
    <m/>
    <n v="3"/>
    <n v="3"/>
    <x v="24"/>
    <s v="17:37:03"/>
    <n v="1"/>
    <s v="bafc4972-79f2-4709-ad1f-22a048df7452"/>
  </r>
  <r>
    <s v="11-12-2025 18:42"/>
    <s v="Push"/>
    <x v="28"/>
    <n v="1"/>
    <n v="55"/>
    <n v="50"/>
    <n v="12"/>
    <n v="12"/>
    <x v="24"/>
    <s v="17:42:04"/>
    <n v="3"/>
    <s v="d50c8b60-c86a-4f7c-bd65-6b5002295647"/>
  </r>
  <r>
    <s v="11-12-2025 18:51"/>
    <s v="Push"/>
    <x v="22"/>
    <n v="1"/>
    <n v="40"/>
    <n v="35"/>
    <n v="12"/>
    <n v="12"/>
    <x v="24"/>
    <s v="17:51:10"/>
    <n v="3"/>
    <s v="e2842ced-7753-41e4-b235-157345f50d64"/>
  </r>
  <r>
    <s v="11-12-2025 18:51"/>
    <s v="Core"/>
    <x v="20"/>
    <n v="3"/>
    <n v="0"/>
    <n v="0"/>
    <n v="16"/>
    <n v="12"/>
    <x v="24"/>
    <s v="17:51:31"/>
    <n v="3"/>
    <s v="82262c58-50c7-4a72-8897-ff8e916f89d4"/>
  </r>
  <r>
    <s v="11-12-2025 19:07"/>
    <s v="Leg"/>
    <x v="41"/>
    <n v="3"/>
    <n v="0"/>
    <n v="0"/>
    <n v="24"/>
    <n v="20"/>
    <x v="24"/>
    <s v="18:07:24"/>
    <n v="3"/>
    <s v="5192555d-cdc0-4f01-baa0-6dbf73b3427e"/>
  </r>
  <r>
    <s v="11-12-2025 19:07"/>
    <s v="Core"/>
    <x v="17"/>
    <n v="3"/>
    <n v="30"/>
    <n v="25"/>
    <n v="12"/>
    <n v="12"/>
    <x v="24"/>
    <s v="18:07:33"/>
    <n v="3"/>
    <s v="cec59220-0da9-453a-a455-8ff01143f8b4"/>
  </r>
  <r>
    <s v="11-12-2025 19:14"/>
    <s v="Leg"/>
    <x v="16"/>
    <n v="3"/>
    <n v="130"/>
    <n v="115"/>
    <n v="12"/>
    <n v="12"/>
    <x v="24"/>
    <s v="18:14:35"/>
    <n v="3"/>
    <s v="a3458330-eb7b-4739-8f89-6b5d0d30bfd0"/>
  </r>
  <r>
    <s v="11-12-2025 19:15"/>
    <s v="Leg"/>
    <x v="0"/>
    <n v="3"/>
    <n v="20"/>
    <n v="20"/>
    <n v="22"/>
    <n v="15"/>
    <x v="24"/>
    <s v="18:15:04"/>
    <n v="3"/>
    <s v="a45fec7b-0918-4d0b-83fa-7424d67d692e"/>
  </r>
  <r>
    <s v="11-12-2025 19:20"/>
    <s v="Pull"/>
    <x v="40"/>
    <n v="2"/>
    <n v="0"/>
    <n v="0"/>
    <n v="8"/>
    <n v="6"/>
    <x v="24"/>
    <s v="18:20:59"/>
    <n v="3"/>
    <s v="777934a8-55ac-42ff-9b4d-380a95368717"/>
  </r>
  <r>
    <s v="11-12-2025 19:21"/>
    <s v="Pull"/>
    <x v="5"/>
    <n v="2"/>
    <n v="80"/>
    <n v="70"/>
    <n v="12"/>
    <n v="12"/>
    <x v="24"/>
    <s v="18:21:49"/>
    <n v="3"/>
    <s v="8e817220-88bc-4001-a08c-f859bd2ea2a9"/>
  </r>
  <r>
    <s v="11-12-2025 19:31"/>
    <s v="Pull"/>
    <x v="19"/>
    <n v="2"/>
    <n v="70"/>
    <n v="60"/>
    <n v="12"/>
    <n v="12"/>
    <x v="24"/>
    <s v="18:31:25"/>
    <n v="3"/>
    <s v="dec3c2b7-dac0-41db-a664-400294918222"/>
  </r>
  <r>
    <s v="11-12-2025 19:31"/>
    <s v="Push"/>
    <x v="25"/>
    <n v="1"/>
    <n v="0"/>
    <n v="0"/>
    <n v="12"/>
    <n v="10"/>
    <x v="24"/>
    <s v="18:31:54"/>
    <n v="3"/>
    <s v="ed8b1cef-a1a3-410b-9c13-585040bc7caa"/>
  </r>
  <r>
    <s v="14-12-2025 12:53"/>
    <s v="Core"/>
    <x v="1"/>
    <n v="3"/>
    <n v="40"/>
    <n v="35"/>
    <n v="3"/>
    <n v="3"/>
    <x v="25"/>
    <s v="11:53:49"/>
    <n v="3"/>
    <s v="edcb1b6c-6275-467b-a6da-89ffc7cb3cb6"/>
  </r>
  <r>
    <s v="14-12-2025 12:57"/>
    <s v="Core"/>
    <x v="7"/>
    <s v="O"/>
    <m/>
    <m/>
    <n v="3"/>
    <n v="3"/>
    <x v="25"/>
    <s v="11:57:34"/>
    <n v="1"/>
    <s v="61df43ac-b687-47ca-9b80-01752a14a243"/>
  </r>
  <r>
    <s v="14-12-2025 13:17"/>
    <s v="Pull"/>
    <x v="42"/>
    <n v="9"/>
    <n v="60"/>
    <n v="60"/>
    <n v="6"/>
    <n v="6"/>
    <x v="25"/>
    <s v="12:17:40"/>
    <n v="3"/>
    <s v="35dcd8bf-d437-412d-920d-1316add2dcfc"/>
  </r>
  <r>
    <s v="14-12-2025 13:53"/>
    <s v="Pull"/>
    <x v="11"/>
    <n v="2"/>
    <n v="35"/>
    <n v="35"/>
    <n v="12"/>
    <n v="12"/>
    <x v="25"/>
    <s v="12:53:38"/>
    <n v="3"/>
    <s v="5fc0bd8e-59d7-44d5-a9fb-bf8b34705ae1"/>
  </r>
  <r>
    <s v="14-12-2025 14:02"/>
    <s v="Pull"/>
    <x v="6"/>
    <n v="2"/>
    <n v="30"/>
    <n v="30"/>
    <n v="12"/>
    <n v="12"/>
    <x v="25"/>
    <s v="13:02:45"/>
    <n v="3"/>
    <s v="3b64d0b8-ef9e-4b27-b6d9-751d7e409f11"/>
  </r>
  <r>
    <s v="14-12-2025 14:02"/>
    <s v="Pull"/>
    <x v="31"/>
    <n v="2"/>
    <s v="27,5"/>
    <s v="27,5"/>
    <n v="12"/>
    <n v="12"/>
    <x v="25"/>
    <s v="13:02:51"/>
    <n v="3"/>
    <s v="1b3a77e2-decd-4d7e-9f19-51c4d58dbfd4"/>
  </r>
  <r>
    <s v="16-12-2025 21:12"/>
    <s v="Pull"/>
    <x v="2"/>
    <s v="H"/>
    <s v="17,5"/>
    <s v="17,5"/>
    <n v="12"/>
    <n v="14"/>
    <x v="26"/>
    <s v="20:12:03"/>
    <n v="3"/>
    <s v="3a15aa7e-faf4-4155-8653-abc76f9b7b1d"/>
  </r>
  <r>
    <s v="16-12-2025 21:37"/>
    <m/>
    <x v="43"/>
    <s v="H"/>
    <s v="17,5"/>
    <s v="17,5"/>
    <n v="12"/>
    <n v="14"/>
    <x v="26"/>
    <s v="20:37:38"/>
    <m/>
    <s v="e295e1b8-c038-484a-a696-de489371d5fa"/>
  </r>
  <r>
    <s v="16-12-2025 22:21"/>
    <s v="Push"/>
    <x v="14"/>
    <s v="H"/>
    <m/>
    <m/>
    <n v="20"/>
    <n v="15"/>
    <x v="26"/>
    <s v="21:21:53"/>
    <n v="3"/>
    <s v="c4c9bad4-1bbb-41f5-94e4-d6928242d259"/>
  </r>
  <r>
    <s v="16-12-2025 22:21"/>
    <s v="Core"/>
    <x v="13"/>
    <s v="H"/>
    <m/>
    <m/>
    <n v="45"/>
    <n v="45"/>
    <x v="26"/>
    <s v="21:21:57"/>
    <n v="1"/>
    <s v="fb85e5c7-b459-467c-85b1-994efe1a10e9"/>
  </r>
  <r>
    <s v="19-12-2025 17:48"/>
    <s v="Core"/>
    <x v="7"/>
    <s v="O"/>
    <m/>
    <m/>
    <n v="3"/>
    <n v="3"/>
    <x v="27"/>
    <s v="16:48:30"/>
    <n v="1"/>
    <s v="aebcc396-af6c-4d8c-85f3-20cb01adab72"/>
  </r>
  <r>
    <s v="19-12-2025 17:58"/>
    <s v="Push"/>
    <x v="27"/>
    <n v="1"/>
    <n v="55"/>
    <n v="60"/>
    <n v="12"/>
    <n v="12"/>
    <x v="27"/>
    <s v="16:58:23"/>
    <n v="3"/>
    <s v="25f4280c-349f-429b-abf3-2a28260573e6"/>
  </r>
  <r>
    <s v="19-12-2025 17:59"/>
    <s v="Leg"/>
    <x v="41"/>
    <n v="3"/>
    <n v="0"/>
    <n v="0"/>
    <n v="20"/>
    <n v="23"/>
    <x v="27"/>
    <s v="16:59:56"/>
    <n v="3"/>
    <s v="fc30dfbd-1957-49b2-9562-05c25a13e78c"/>
  </r>
  <r>
    <s v="19-12-2025 18:09"/>
    <s v="Core"/>
    <x v="17"/>
    <n v="3"/>
    <n v="25"/>
    <n v="25"/>
    <n v="12"/>
    <n v="12"/>
    <x v="27"/>
    <s v="17:09:39"/>
    <n v="3"/>
    <s v="e1d4191b-08c7-4e70-b95f-9887aa74be42"/>
  </r>
  <r>
    <s v="19-12-2025 18:09"/>
    <s v="Pull"/>
    <x v="40"/>
    <n v="2"/>
    <n v="0"/>
    <n v="0"/>
    <n v="6"/>
    <n v="8"/>
    <x v="27"/>
    <s v="17:09:55"/>
    <n v="3"/>
    <s v="3b16a63e-dd46-4294-ae23-9d1cd6235db8"/>
  </r>
  <r>
    <s v="19-12-2025 18:19"/>
    <s v="Pull"/>
    <x v="19"/>
    <n v="2"/>
    <n v="60"/>
    <n v="70"/>
    <n v="12"/>
    <n v="12"/>
    <x v="27"/>
    <s v="17:19:28"/>
    <n v="3"/>
    <s v="7dd14cd3-40e0-4b29-a5c3-c314a466124a"/>
  </r>
  <r>
    <s v="19-12-2025 18:23"/>
    <s v="Pull"/>
    <x v="5"/>
    <n v="2"/>
    <n v="70"/>
    <n v="80"/>
    <n v="12"/>
    <n v="12"/>
    <x v="27"/>
    <s v="17:23:36"/>
    <n v="3"/>
    <s v="665627f1-00d0-43ac-a604-6658bfef9438"/>
  </r>
  <r>
    <s v="19-12-2025 18:32"/>
    <s v="Leg"/>
    <x v="15"/>
    <n v="3"/>
    <n v="70"/>
    <n v="60"/>
    <n v="12"/>
    <n v="12"/>
    <x v="27"/>
    <s v="17:32:26"/>
    <n v="3"/>
    <s v="83a99bfa-eb0b-4a85-be59-f84706e7dbb5"/>
  </r>
  <r>
    <s v="19-12-2025 18:39"/>
    <s v="Leg"/>
    <x v="0"/>
    <n v="3"/>
    <n v="20"/>
    <n v="20"/>
    <n v="15"/>
    <n v="20"/>
    <x v="27"/>
    <s v="17:39:29"/>
    <n v="3"/>
    <s v="4ebd76a9-858d-4cb4-94da-652f28b99462"/>
  </r>
  <r>
    <s v="19-12-2025 18:45"/>
    <s v="Core"/>
    <x v="20"/>
    <n v="3"/>
    <n v="0"/>
    <n v="0"/>
    <n v="12"/>
    <n v="15"/>
    <x v="27"/>
    <s v="17:45:42"/>
    <n v="3"/>
    <s v="5fab3035-f648-4e72-8f90-287dd8a8e149"/>
  </r>
  <r>
    <s v="19-12-2025 18:55"/>
    <s v="Push"/>
    <x v="22"/>
    <n v="1"/>
    <n v="35"/>
    <n v="40"/>
    <n v="12"/>
    <n v="12"/>
    <x v="27"/>
    <s v="17:55:55"/>
    <n v="3"/>
    <s v="08c368a6-c5a4-4b95-9e33-c7cbcd4047e2"/>
  </r>
  <r>
    <s v="19-12-2025 19:07"/>
    <s v="Push"/>
    <x v="25"/>
    <n v="1"/>
    <n v="0"/>
    <n v="0"/>
    <n v="10"/>
    <n v="12"/>
    <x v="27"/>
    <s v="18:07:47"/>
    <n v="3"/>
    <s v="41be2439-7b4e-40d1-b1a4-015833c7a9d5"/>
  </r>
  <r>
    <s v="21-12-2025 18:23"/>
    <s v="Push"/>
    <x v="24"/>
    <n v="1"/>
    <n v="60"/>
    <n v="60"/>
    <n v="11"/>
    <n v="12"/>
    <x v="28"/>
    <s v="17:23:08"/>
    <n v="3"/>
    <s v="5b18030b-6a8f-4624-83e7-91bb36123c43"/>
  </r>
  <r>
    <s v="21-12-2025 18:23"/>
    <s v="Core"/>
    <x v="7"/>
    <s v="O"/>
    <m/>
    <m/>
    <n v="3"/>
    <n v="3"/>
    <x v="28"/>
    <s v="17:23:16"/>
    <n v="1"/>
    <s v="abed9845-15d9-4057-87ac-a1d248811b53"/>
  </r>
  <r>
    <s v="21-12-2025 18:34"/>
    <s v="Pull"/>
    <x v="42"/>
    <n v="9"/>
    <n v="60"/>
    <n v="60"/>
    <n v="6"/>
    <n v="8"/>
    <x v="28"/>
    <s v="17:34:34"/>
    <n v="3"/>
    <s v="552b8ee9-2d63-4bfb-8a34-9cfe82686c36"/>
  </r>
  <r>
    <s v="21-12-2025 18:45"/>
    <s v="Core"/>
    <x v="1"/>
    <n v="3"/>
    <n v="35"/>
    <n v="40"/>
    <n v="3"/>
    <n v="3"/>
    <x v="28"/>
    <s v="17:45:27"/>
    <n v="3"/>
    <s v="ae09a0ec-119a-41a1-bfce-6e555fa9c8d3"/>
  </r>
  <r>
    <s v="21-12-2025 18:56"/>
    <s v="Pull"/>
    <x v="31"/>
    <n v="2"/>
    <s v="27,5"/>
    <s v="27,5"/>
    <n v="12"/>
    <n v="12"/>
    <x v="28"/>
    <s v="17:56:03"/>
    <n v="3"/>
    <s v="c259029d-7bd3-4984-8aef-e9b8514e1a65"/>
  </r>
  <r>
    <s v="21-12-2025 18:56"/>
    <s v="Pull"/>
    <x v="6"/>
    <n v="2"/>
    <n v="30"/>
    <n v="30"/>
    <n v="12"/>
    <n v="12"/>
    <x v="28"/>
    <s v="17:56:17"/>
    <n v="3"/>
    <s v="54c7d4d3-8302-4185-b592-16d213451027"/>
  </r>
  <r>
    <s v="21-12-2025 18:56"/>
    <s v="Pull"/>
    <x v="9"/>
    <n v="2"/>
    <s v="27,5"/>
    <s v="27,5"/>
    <n v="12"/>
    <n v="12"/>
    <x v="28"/>
    <s v="17:56:29"/>
    <n v="3"/>
    <s v="634b9f23-487e-4e90-97a0-62ee2a341b4d"/>
  </r>
  <r>
    <s v="21-12-2025 19:08"/>
    <s v="Pull"/>
    <x v="11"/>
    <n v="2"/>
    <n v="35"/>
    <n v="35"/>
    <n v="12"/>
    <n v="12"/>
    <x v="28"/>
    <s v="18:08:02"/>
    <n v="3"/>
    <s v="4d4bc8e0-afb3-490e-8919-4872f4f33eec"/>
  </r>
  <r>
    <s v="23-12-2025 14:38"/>
    <s v="Pull"/>
    <x v="2"/>
    <s v="H"/>
    <s v="17,5"/>
    <s v="17,5"/>
    <n v="14"/>
    <n v="15"/>
    <x v="29"/>
    <s v="13:38:30"/>
    <n v="3"/>
    <s v="68ba26a7-f5f7-4176-a731-71c9dd24e9d7"/>
  </r>
  <r>
    <s v="23-12-2025 14:38"/>
    <m/>
    <x v="43"/>
    <s v="H"/>
    <s v="17,5"/>
    <s v="17,5"/>
    <n v="14"/>
    <n v="15"/>
    <x v="29"/>
    <s v="13:38:40"/>
    <m/>
    <s v="8230883f-eace-4d6b-a1b1-b94248211a9d"/>
  </r>
  <r>
    <s v="23-12-2025 15:33"/>
    <s v="Core"/>
    <x v="13"/>
    <s v="H"/>
    <m/>
    <n v="2260"/>
    <n v="45"/>
    <n v="45"/>
    <x v="29"/>
    <s v="14:33:31"/>
    <n v="1"/>
    <s v="f61a21eb-6555-47bb-a518-2016b3d17c72"/>
  </r>
  <r>
    <s v="23-12-2025 15:33"/>
    <s v="Push"/>
    <x v="14"/>
    <s v="H"/>
    <m/>
    <m/>
    <n v="15"/>
    <n v="20"/>
    <x v="29"/>
    <s v="14:33:43"/>
    <n v="3"/>
    <s v="a4c66c2a-53e1-413b-9adb-beea6d517893"/>
  </r>
  <r>
    <s v="25-12-2025 16:36"/>
    <s v="Core"/>
    <x v="7"/>
    <s v="O"/>
    <m/>
    <n v="630"/>
    <n v="3"/>
    <n v="3"/>
    <x v="30"/>
    <s v="15:36:54"/>
    <n v="1"/>
    <s v="af3a818b-b7c5-40cd-9081-d3f577ba8985"/>
  </r>
  <r>
    <s v="25-12-2025 16:55"/>
    <s v="Leg"/>
    <x v="0"/>
    <n v="3"/>
    <n v="20"/>
    <n v="20"/>
    <n v="20"/>
    <n v="20"/>
    <x v="30"/>
    <s v="15:55:48"/>
    <n v="3"/>
    <s v="b6c96af4-3083-4272-b1f1-bb40b7196639"/>
  </r>
  <r>
    <s v="25-12-2025 17:09"/>
    <s v="Leg"/>
    <x v="15"/>
    <n v="3"/>
    <n v="60"/>
    <n v="60"/>
    <n v="12"/>
    <n v="12"/>
    <x v="30"/>
    <s v="16:09:54"/>
    <n v="3"/>
    <s v="492efefd-cd5a-47e1-af7c-50db4cb841e4"/>
  </r>
  <r>
    <s v="25-12-2025 17:15"/>
    <s v="Pull"/>
    <x v="40"/>
    <n v="2"/>
    <n v="0"/>
    <n v="0"/>
    <n v="8"/>
    <n v="8"/>
    <x v="30"/>
    <s v="16:15:24"/>
    <n v="3"/>
    <s v="85f5c63c-d9a9-49e7-88ab-de24c4786461"/>
  </r>
  <r>
    <s v="25-12-2025 17:52"/>
    <s v="Core"/>
    <x v="20"/>
    <n v="3"/>
    <n v="0"/>
    <n v="0"/>
    <n v="15"/>
    <n v="15"/>
    <x v="30"/>
    <s v="16:52:41"/>
    <n v="3"/>
    <s v="331f1232-c68e-412f-816c-6bb7a19bc78a"/>
  </r>
  <r>
    <s v="25-12-2025 17:52"/>
    <s v="Leg"/>
    <x v="16"/>
    <n v="3"/>
    <n v="115"/>
    <n v="130"/>
    <n v="12"/>
    <n v="12"/>
    <x v="30"/>
    <s v="16:52:49"/>
    <n v="3"/>
    <s v="fd2f10a7-2cd7-4ff1-88ab-95b3fa5ee772"/>
  </r>
  <r>
    <s v="28-12-2025 23:27"/>
    <s v="Push"/>
    <x v="14"/>
    <s v="H"/>
    <m/>
    <m/>
    <n v="20"/>
    <n v="20"/>
    <x v="31"/>
    <s v="22:27:50"/>
    <n v="3"/>
    <s v="67ec06c8-9619-4e2c-86fd-b96d8f110644"/>
  </r>
  <r>
    <s v="28-12-2025 23:28"/>
    <s v="Core"/>
    <x v="30"/>
    <s v="H"/>
    <n v="0"/>
    <n v="0"/>
    <n v="60"/>
    <n v="60"/>
    <x v="31"/>
    <s v="22:28:08"/>
    <n v="3"/>
    <s v="8fd404b8-24d0-4ded-b224-3db6caca2797"/>
  </r>
  <r>
    <s v="28-12-2025 23:28"/>
    <s v="Core"/>
    <x v="13"/>
    <s v="H"/>
    <n v="2260"/>
    <n v="1519"/>
    <n v="45"/>
    <n v="30"/>
    <x v="31"/>
    <s v="22:28:42"/>
    <n v="1"/>
    <s v="2e69a7dd-51fb-4f37-a2d5-806100d1e657"/>
  </r>
  <r>
    <s v="28-12-2025 23:28"/>
    <s v="Pull"/>
    <x v="2"/>
    <s v="H"/>
    <s v="17,5"/>
    <s v="17,5"/>
    <n v="15"/>
    <n v="15"/>
    <x v="31"/>
    <s v="22:28:54"/>
    <n v="3"/>
    <s v="60f2f986-7c5e-49ed-8a97-762697c4450a"/>
  </r>
  <r>
    <s v="30-12-2025 14:12"/>
    <s v="Core"/>
    <x v="7"/>
    <s v="O"/>
    <n v="630"/>
    <n v="658"/>
    <n v="3"/>
    <n v="3"/>
    <x v="32"/>
    <s v="13:12:53"/>
    <n v="1"/>
    <s v="43aa9260-3cf3-4708-b531-4781f7d5c0e7"/>
  </r>
  <r>
    <s v="30-12-2025 14:36"/>
    <s v="Push"/>
    <x v="24"/>
    <n v="1"/>
    <n v="60"/>
    <n v="70"/>
    <n v="12"/>
    <n v="6"/>
    <x v="32"/>
    <s v="13:36:37"/>
    <n v="3"/>
    <s v="25190351-f644-4673-8220-a8f42cf730dc"/>
  </r>
  <r>
    <s v="30-12-2025 14:45"/>
    <s v="Core"/>
    <x v="1"/>
    <n v="3"/>
    <n v="40"/>
    <n v="40"/>
    <n v="3"/>
    <n v="3"/>
    <x v="32"/>
    <s v="13:45:16"/>
    <n v="3"/>
    <s v="0af0b627-3e67-4a02-bc0d-aa0586bb87c0"/>
  </r>
  <r>
    <s v="30-12-2025 15:09"/>
    <s v="Pull"/>
    <x v="19"/>
    <n v="2"/>
    <n v="70"/>
    <n v="70"/>
    <n v="12"/>
    <n v="12"/>
    <x v="32"/>
    <s v="14:09:20"/>
    <n v="3"/>
    <s v="310c99fc-9a02-4d20-a5f0-691c2b29f391"/>
  </r>
  <r>
    <s v="30-12-2025 15:32"/>
    <s v="Leg"/>
    <x v="0"/>
    <n v="3"/>
    <n v="20"/>
    <n v="20"/>
    <n v="20"/>
    <n v="20"/>
    <x v="32"/>
    <s v="14:32:29"/>
    <n v="3"/>
    <s v="06b6949e-8b2d-46ab-8776-0b1a98a6fb55"/>
  </r>
  <r>
    <s v="30-12-2025 15:49"/>
    <s v="Pull"/>
    <x v="40"/>
    <n v="2"/>
    <n v="0"/>
    <n v="0"/>
    <n v="8"/>
    <n v="8"/>
    <x v="32"/>
    <s v="14:49:07"/>
    <n v="3"/>
    <s v="e55e74e7-824b-4150-93e7-b983060f3149"/>
  </r>
  <r>
    <s v="30-12-2025 15:50"/>
    <s v="Leg"/>
    <x v="41"/>
    <n v="3"/>
    <n v="0"/>
    <n v="0"/>
    <n v="23"/>
    <n v="15"/>
    <x v="32"/>
    <s v="14:50:08"/>
    <n v="3"/>
    <s v="705e0557-4da3-44a1-8171-7f61a49ecc3a"/>
  </r>
  <r>
    <s v="30-12-2025 16:11"/>
    <s v="Pull"/>
    <x v="31"/>
    <n v="2"/>
    <s v="27,5"/>
    <s v="27,5"/>
    <n v="12"/>
    <n v="12"/>
    <x v="32"/>
    <s v="15:11:10"/>
    <n v="3"/>
    <s v="3afcf1ad-48f0-44c8-b75b-2bfc8f06e02b"/>
  </r>
  <r>
    <s v="30-12-2025 16:29"/>
    <s v="Pull"/>
    <x v="8"/>
    <n v="2"/>
    <n v="85"/>
    <n v="85"/>
    <n v="12"/>
    <n v="12"/>
    <x v="32"/>
    <s v="15:29:12"/>
    <n v="3"/>
    <s v="5627e728-d959-49f9-ba8d-671b068a0142"/>
  </r>
  <r>
    <s v="30-12-2025 17:06"/>
    <s v="Push"/>
    <x v="22"/>
    <n v="1"/>
    <n v="40"/>
    <n v="40"/>
    <n v="12"/>
    <n v="12"/>
    <x v="32"/>
    <s v="16:06:04"/>
    <n v="3"/>
    <s v="7cc9be98-0620-424c-a13d-58fb042236c1"/>
  </r>
  <r>
    <s v="30-12-2025 17:06"/>
    <s v="Push"/>
    <x v="25"/>
    <n v="1"/>
    <n v="0"/>
    <n v="0"/>
    <n v="12"/>
    <n v="12"/>
    <x v="32"/>
    <s v="16:06:46"/>
    <n v="3"/>
    <s v="9169f0aa-6b62-4edf-b0fa-e63191360981"/>
  </r>
  <r>
    <s v="30-12-2025 17:18"/>
    <s v="Core"/>
    <x v="20"/>
    <n v="3"/>
    <n v="0"/>
    <n v="0"/>
    <n v="15"/>
    <n v="15"/>
    <x v="32"/>
    <s v="16:18:29"/>
    <n v="3"/>
    <s v="c4c46bf7-0459-4223-b9f3-03b24a36ef8a"/>
  </r>
  <r>
    <s v="30-12-2025 17:18"/>
    <s v="Push"/>
    <x v="44"/>
    <n v="1"/>
    <n v="8"/>
    <m/>
    <n v="8"/>
    <n v="8"/>
    <x v="32"/>
    <s v="16:18:41"/>
    <n v="3"/>
    <s v="500011a4-13f8-452b-95f2-8677ed3a960d"/>
  </r>
  <r>
    <s v="02-01-2026 16:55"/>
    <s v="Pull"/>
    <x v="11"/>
    <n v="2"/>
    <n v="35"/>
    <n v="35"/>
    <n v="12"/>
    <n v="12"/>
    <x v="33"/>
    <s v="15:55:50"/>
    <n v="3"/>
    <s v="76f68a4c-1962-43e4-8c0f-b0f72c8b8965"/>
  </r>
  <r>
    <s v="02-01-2026 16:56"/>
    <s v="Leg"/>
    <x v="15"/>
    <n v="3"/>
    <n v="60"/>
    <n v="70"/>
    <n v="12"/>
    <n v="12"/>
    <x v="33"/>
    <s v="15:56:08"/>
    <n v="3"/>
    <s v="c4ddcc8c-1601-45da-89c3-726b18611aef"/>
  </r>
  <r>
    <s v="02-01-2026 17:06"/>
    <s v="Push"/>
    <x v="28"/>
    <n v="1"/>
    <n v="50"/>
    <n v="60"/>
    <n v="12"/>
    <n v="12"/>
    <x v="33"/>
    <s v="16:06:48"/>
    <n v="3"/>
    <s v="4c0933df-5d8c-4b4d-8642-6554a3d86c84"/>
  </r>
  <r>
    <s v="02-01-2026 17:16"/>
    <s v="Leg"/>
    <x v="16"/>
    <n v="3"/>
    <n v="130"/>
    <n v="130"/>
    <n v="12"/>
    <n v="12"/>
    <x v="33"/>
    <s v="16:16:17"/>
    <n v="3"/>
    <s v="bb5d275e-a045-4176-906b-1037ebbedd4b"/>
  </r>
  <r>
    <s v="02-01-2026 17:26"/>
    <s v="Pull"/>
    <x v="45"/>
    <n v="2"/>
    <n v="60"/>
    <n v="60"/>
    <n v="10"/>
    <n v="10"/>
    <x v="33"/>
    <s v="16:26:17"/>
    <n v="3"/>
    <s v="119bfa2d-6e2d-4bc6-a04f-ab498a7be103"/>
  </r>
  <r>
    <s v="02-01-2026 17:30"/>
    <s v="Push"/>
    <x v="46"/>
    <n v="9"/>
    <m/>
    <n v="45"/>
    <m/>
    <n v="12"/>
    <x v="33"/>
    <s v="16:30:55"/>
    <m/>
    <s v="887cc503-8989-45a7-9bf8-67677f0ed5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09C877-4840-458D-B28E-B2F78A7BDE21}" name="PivotTable1" cacheId="79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B8" firstHeaderRow="1" firstDataRow="1" firstDataCol="1" rowPageCount="1" colPageCount="1"/>
  <pivotFields count="12">
    <pivotField compact="0" outline="0" showAll="0"/>
    <pivotField compact="0" outline="0" showAll="0"/>
    <pivotField axis="axisPage" compact="0" outline="0" multipleItemSelectionAllowed="1" showAll="0">
      <items count="48">
        <item h="1" x="33"/>
        <item h="1" x="14"/>
        <item h="1" x="25"/>
        <item h="1" x="24"/>
        <item h="1" x="32"/>
        <item h="1" x="10"/>
        <item h="1" x="11"/>
        <item h="1" x="18"/>
        <item h="1" x="17"/>
        <item h="1" x="43"/>
        <item h="1" x="45"/>
        <item h="1" x="42"/>
        <item h="1" x="22"/>
        <item h="1" x="0"/>
        <item h="1" x="31"/>
        <item h="1" x="34"/>
        <item h="1" x="1"/>
        <item h="1" x="2"/>
        <item h="1" x="20"/>
        <item h="1" x="26"/>
        <item h="1" x="29"/>
        <item h="1" x="38"/>
        <item h="1" x="39"/>
        <item h="1" x="23"/>
        <item h="1" x="16"/>
        <item h="1" x="3"/>
        <item h="1" x="4"/>
        <item h="1" x="5"/>
        <item h="1" x="46"/>
        <item h="1" x="44"/>
        <item h="1" x="30"/>
        <item h="1" x="40"/>
        <item h="1" x="6"/>
        <item h="1" x="19"/>
        <item h="1" x="7"/>
        <item h="1" x="8"/>
        <item h="1" x="35"/>
        <item h="1" x="12"/>
        <item h="1" x="36"/>
        <item x="9"/>
        <item h="1" x="41"/>
        <item h="1" x="15"/>
        <item h="1" x="21"/>
        <item h="1" x="13"/>
        <item h="1" x="37"/>
        <item h="1" x="27"/>
        <item h="1" x="28"/>
        <item t="default"/>
      </items>
    </pivotField>
    <pivotField compact="0" outline="0" showAll="0"/>
    <pivotField compact="0" outline="0" showAll="0"/>
    <pivotField dataField="1" compact="0" outline="0" showAll="0"/>
    <pivotField compact="0" outline="0" showAll="0"/>
    <pivotField compact="0" numFmtId="1" outline="0" showAll="0"/>
    <pivotField axis="axisRow" compact="0" outline="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outline="0" showAll="0"/>
    <pivotField compact="0" outline="0" showAll="0"/>
    <pivotField compact="0" outline="0" showAll="0"/>
  </pivotFields>
  <rowFields count="1">
    <field x="8"/>
  </rowFields>
  <rowItems count="4">
    <i>
      <x/>
    </i>
    <i>
      <x v="20"/>
    </i>
    <i>
      <x v="28"/>
    </i>
    <i t="grand">
      <x/>
    </i>
  </rowItems>
  <colItems count="1">
    <i/>
  </colItems>
  <pageFields count="1">
    <pageField fld="2" hier="-1"/>
  </pageFields>
  <dataFields count="1">
    <dataField name="Average of TodayWeight" fld="5" subtotal="average"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E1A2F2-E9FA-408A-BD31-A15C1B13E767}" name="Exercises" displayName="Exercises" ref="A1:T57" totalsRowShown="0" headerRowDxfId="53" headerRowBorderDxfId="51" tableBorderDxfId="52">
  <autoFilter ref="A1:T57" xr:uid="{A2E1A2F2-E9FA-408A-BD31-A15C1B13E767}">
    <filterColumn colId="4">
      <filters>
        <filter val="3"/>
      </filters>
    </filterColumn>
  </autoFilter>
  <tableColumns count="20">
    <tableColumn id="1" xr3:uid="{F1F55473-F5C1-4EFA-8C52-9310B53135F7}" name="ID"/>
    <tableColumn id="2" xr3:uid="{070F520C-C32A-4BCB-8DF6-8A86F61C40AE}" name="Date"/>
    <tableColumn id="3" xr3:uid="{B4C1837B-D4FA-4D79-BE3E-BCA1F3FFBBC0}" name="Type"/>
    <tableColumn id="16" xr3:uid="{DD3A251D-3ACF-4A34-BAB2-71348402C24B}" name="Category" dataDxfId="50"/>
    <tableColumn id="12" xr3:uid="{FF206E4E-CDB5-428A-ADF5-D053156136AC}" name="Day" dataDxfId="49"/>
    <tableColumn id="4" xr3:uid="{2BC97547-93CB-46A9-926F-FCAD9FED651F}" name="Exercise" dataDxfId="48"/>
    <tableColumn id="5" xr3:uid="{4F029EC7-722B-44EB-AAD0-42BF8CD75858}" name="LastWeight"/>
    <tableColumn id="6" xr3:uid="{AFA2B744-F04B-4F4D-A1BB-32F28EF7DD30}" name="TodayWeight"/>
    <tableColumn id="7" xr3:uid="{F838081E-3386-4B13-9658-B732C0F1D175}" name="LastReps"/>
    <tableColumn id="8" xr3:uid="{2317D2D2-76C8-4ACF-BA7C-33D007E83344}" name="TodayReps"/>
    <tableColumn id="17" xr3:uid="{BFBE8CCA-5E2F-45D1-BCBA-7CE8A0C80E12}" name="Set" dataDxfId="47"/>
    <tableColumn id="9" xr3:uid="{5F3810F7-5ACB-4093-AFDD-F847DE7EE43F}" name="Completed"/>
    <tableColumn id="19" xr3:uid="{50FD838E-7F2C-4EC9-9F6E-959C33B7CD7F}" name="LastCompletedDate" dataDxfId="46"/>
    <tableColumn id="11" xr3:uid="{F64037D0-2826-48C3-A343-373C07EC4D83}" name="Description" dataDxfId="45"/>
    <tableColumn id="10" xr3:uid="{270252D8-BAE5-4AD0-9F10-FEC70BA9ED75}" name="__PowerAppsId__"/>
    <tableColumn id="13" xr3:uid="{CDDE6685-2478-4E8F-862C-2619A181A78C}" name="_norm" dataDxfId="44"/>
    <tableColumn id="18" xr3:uid="{34CEAA12-73A4-4DEA-892F-7FE3B7685A4A}" name="Primary" dataDxfId="43"/>
    <tableColumn id="20" xr3:uid="{28C5FD5B-CBCD-4069-9809-B417C9B3DA0E}" name="Secondary" dataDxfId="42"/>
    <tableColumn id="14" xr3:uid="{60C734A0-858C-4EE1-8F68-9E35BD94B4F0}" name="__prog_name__" dataDxfId="41"/>
    <tableColumn id="15" xr3:uid="{58268DD5-3A5A-461E-B8C4-A9FA8397046D}" name="R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4CA751-F32D-4071-BCDC-6B03ACA34E1A}" name="Log" displayName="Log" ref="A1:O422" totalsRowShown="0" headerRowDxfId="40" dataDxfId="39" headerRowBorderDxfId="37" tableBorderDxfId="38" totalsRowBorderDxfId="36">
  <autoFilter ref="A1:O422" xr:uid="{514CA751-F32D-4071-BCDC-6B03ACA34E1A}"/>
  <sortState xmlns:xlrd2="http://schemas.microsoft.com/office/spreadsheetml/2017/richdata2" ref="A2:L114">
    <sortCondition ref="A1:A114"/>
  </sortState>
  <tableColumns count="15">
    <tableColumn id="10" xr3:uid="{B2852045-46EB-4746-B444-6368BA4399D4}" name="Date" dataDxfId="35"/>
    <tableColumn id="2" xr3:uid="{A09A4EB1-CDFE-4382-8BF7-05C87F09159F}" name="Type" dataDxfId="34"/>
    <tableColumn id="3" xr3:uid="{B4BB7D33-3DD6-453C-8586-A77821CB0123}" name="Exercise" dataDxfId="33"/>
    <tableColumn id="9" xr3:uid="{F5CF2CA9-5DC7-4D34-82E3-E1AADD66BC70}" name="Day" dataDxfId="32"/>
    <tableColumn id="4" xr3:uid="{499FE62A-7405-4209-8358-461FD357C670}" name="LastWeight" dataDxfId="31"/>
    <tableColumn id="5" xr3:uid="{67072B63-ACB2-4944-88A4-07D76D278EAC}" name="TodayWeight" dataDxfId="30"/>
    <tableColumn id="6" xr3:uid="{2F196EE4-2669-4CFF-ADF3-0A02D1B19A86}" name="LastReps" dataDxfId="29"/>
    <tableColumn id="7" xr3:uid="{A1EBEC23-6DBC-45B4-B64C-5964E5C1E946}" name="TodayReps" dataDxfId="28"/>
    <tableColumn id="1" xr3:uid="{5B9DC23D-70FC-446A-95C5-E300625538A8}" name="DateOnly" dataDxfId="27"/>
    <tableColumn id="11" xr3:uid="{AC42D4E3-E6E5-4677-8765-D995BED1C834}" name="TimeOnly" dataDxfId="26"/>
    <tableColumn id="12" xr3:uid="{80912FBD-C8B9-4F0A-AE53-A8C88147C568}" name="Set" dataDxfId="25"/>
    <tableColumn id="8" xr3:uid="{1618CB4E-E182-48E2-A00E-84F91D7FBC5A}" name="__PowerAppsId__" dataDxfId="24"/>
    <tableColumn id="13" xr3:uid="{2B339EAA-BC41-42DF-BCFB-15B28EDDC986}" name="DagKey" dataDxfId="23">
      <calculatedColumnFormula>IF(ISNUMBER(Log[[#This Row],[Day]]),TEXT(Log[[#This Row],[Day]],"0"),Log[[#This Row],[Day]])</calculatedColumnFormula>
    </tableColumn>
    <tableColumn id="14" xr3:uid="{B95073A8-3CDB-49FB-B898-BFB5FBDAE051}" name="Kategori (master)" dataDxfId="22">
      <calculatedColumnFormula>_xlfn.XLOOKUP(Log[[#This Row],[Exercise]],Exercises[Exercise],Exercises[Category],"Ukendt",0)</calculatedColumnFormula>
    </tableColumn>
    <tableColumn id="15" xr3:uid="{03C4147A-D00B-46ED-B44B-757925065991}" name="Primær (master)" dataDxfId="21">
      <calculatedColumnFormula>_xlfn.XLOOKUP(Log[[#This Row],[Exercise]],Table5[Exercise],Table5[Primary],"Ukendt",0)</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D67FD4-ECAE-4077-B30E-2D1C2CFE5B2E}" name="Types" displayName="Types" ref="A1:A5" totalsRowShown="0">
  <autoFilter ref="A1:A5" xr:uid="{7FD67FD4-ECAE-4077-B30E-2D1C2CFE5B2E}"/>
  <tableColumns count="1">
    <tableColumn id="1" xr3:uid="{C822AA34-1207-4C6D-A72A-39B1EB69D8C0}" name="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06E632-5ABB-4B0A-AD28-AB4B1688B9F7}" name="Table5" displayName="Table5" ref="A1:B21" totalsRowShown="0">
  <autoFilter ref="A1:B21" xr:uid="{A906E632-5ABB-4B0A-AD28-AB4B1688B9F7}"/>
  <tableColumns count="2">
    <tableColumn id="1" xr3:uid="{8C25DB5A-C94A-4F70-AD4A-D13126C63D30}" name="Exercise"/>
    <tableColumn id="2" xr3:uid="{DE657474-57D6-4151-8E6F-A5C64AEE19E3}" name="Primary"/>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44673B-CC48-4D54-A8CF-70FAA9282081}" name="DagFordeling" displayName="DagFordeling" ref="M3:U10" totalsRowShown="0">
  <autoFilter ref="M3:U10" xr:uid="{C744673B-CC48-4D54-A8CF-70FAA9282081}"/>
  <tableColumns count="9">
    <tableColumn id="1" xr3:uid="{DF039157-B681-4FA2-9A62-B6699AF984B5}" name="DayKey"/>
    <tableColumn id="2" xr3:uid="{910E05AD-3EDC-4DAD-B337-649B0B048B69}" name="Beskrivelse"/>
    <tableColumn id="3" xr3:uid="{0FCF006F-CE3C-461F-871C-8D5219813F0B}" name="Pull" dataDxfId="20">
      <calculatedColumnFormula>COUNTIFS(Log[DagKey],DagFordeling[[#This Row],[DayKey]],Log[Type],"Pull")</calculatedColumnFormula>
    </tableColumn>
    <tableColumn id="4" xr3:uid="{607F60CD-55D5-46F7-B23C-9A504D795ADD}" name="Push" dataDxfId="19">
      <calculatedColumnFormula>COUNTIFS(Log[DagKey],DagFordeling[[#This Row],[DayKey]],Log[Type],"Push")</calculatedColumnFormula>
    </tableColumn>
    <tableColumn id="5" xr3:uid="{D71EAA09-6E30-4F37-AF51-256DD734A8FB}" name="Leg" dataDxfId="18">
      <calculatedColumnFormula>COUNTIFS(Log[DagKey],DagFordeling[[#This Row],[DayKey]],Log[Type],"Leg")</calculatedColumnFormula>
    </tableColumn>
    <tableColumn id="6" xr3:uid="{C5325729-0DF5-4715-AA8A-0AC494E7F8F9}" name="Core" dataDxfId="17">
      <calculatedColumnFormula>COUNTIFS(Log[DagKey],DagFordeling[[#This Row],[DayKey]],Log[Type],"Core")</calculatedColumnFormula>
    </tableColumn>
    <tableColumn id="7" xr3:uid="{EE53DB7E-8286-4016-9B89-C94FC21AD0E2}" name="Total" dataDxfId="16">
      <calculatedColumnFormula>SUM(DagFordeling[[#This Row],[Pull]],DagFordeling[[#This Row],[Push]],DagFordeling[[#This Row],[Leg]],DagFordeling[[#This Row],[Core]])</calculatedColumnFormula>
    </tableColumn>
    <tableColumn id="8" xr3:uid="{1B1ACA8C-41C9-4D8E-AE52-FB600079F2E2}" name="Leg-andel" dataDxfId="15">
      <calculatedColumnFormula>IFERROR(DagFordeling[[#This Row],[Leg]]/DagFordeling[[#This Row],[Total]],0)</calculatedColumnFormula>
    </tableColumn>
    <tableColumn id="9" xr3:uid="{1023EA90-D9A1-4C18-A274-19BCD2665381}" name="Push/Pull" dataDxfId="14">
      <calculatedColumnFormula>IFERROR(DagFordeling[[#This Row],[Push]]/DagFordeling[[#This Row],[Pull]],0)</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E11E03-A44B-4696-8E73-0E65DC722122}" name="Input_Tommy" displayName="Input_Tommy" ref="A4:D22" totalsRowShown="0">
  <autoFilter ref="A4:D22" xr:uid="{EEE11E03-A44B-4696-8E73-0E65DC722122}"/>
  <tableColumns count="4">
    <tableColumn id="1" xr3:uid="{92513BF8-21C3-4458-98A5-761FBB4BD827}" name="Emne"/>
    <tableColumn id="2" xr3:uid="{A4B7C1AB-B014-41CD-8C0E-3242C1E6A8E9}" name="Kode/område"/>
    <tableColumn id="3" xr3:uid="{960607A3-EE4A-44F0-B681-702B6FDE049B}" name="Detalje" dataDxfId="13"/>
    <tableColumn id="4" xr3:uid="{25A72169-895F-4E05-AA20-92FB0C66C31A}" name="Noter / formål" dataDxfId="12"/>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C63B6A9-6BBB-4CBD-8B09-52C5A5D3D21B}" name="Justeringsforslag" displayName="Justeringsforslag" ref="A27:D35" totalsRowShown="0">
  <autoFilter ref="A27:D35" xr:uid="{9C63B6A9-6BBB-4CBD-8B09-52C5A5D3D21B}"/>
  <tableColumns count="4">
    <tableColumn id="1" xr3:uid="{D34BDBC6-83AD-45ED-AD62-E37B97AC86B4}" name="Område"/>
    <tableColumn id="2" xr3:uid="{3894208C-20A0-4C4D-A0FE-90B83BB2DF82}" name="Justering"/>
    <tableColumn id="3" xr3:uid="{ACBAFEBA-0839-4B64-9F56-B56380E0C2D7}" name="Hvorfor" dataDxfId="11"/>
    <tableColumn id="4" xr3:uid="{59ABC076-4059-45E9-BB20-5ECBFE7B06B7}" name="Gælder for (dag)" dataDxfId="1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6A6F079-523A-4FFB-8CC2-494A6D319346}" name="Program_v2" displayName="Program_v2" ref="A38:H62" totalsRowShown="0" headerRowDxfId="9" dataDxfId="8">
  <autoFilter ref="A38:H62" xr:uid="{66A6F079-523A-4FFB-8CC2-494A6D319346}"/>
  <tableColumns count="8">
    <tableColumn id="1" xr3:uid="{C747D8F5-A77C-46C1-A966-AE5859C45B64}" name="Dag" dataDxfId="7"/>
    <tableColumn id="2" xr3:uid="{4E2386AE-B622-4E36-938B-5F2979D7A54A}" name="Sektion" dataDxfId="6"/>
    <tableColumn id="3" xr3:uid="{CDBA5F0C-7A73-453C-9992-D5489EF9EAE9}" name="Rækkefølge" dataDxfId="5"/>
    <tableColumn id="4" xr3:uid="{3BC14215-AE80-46C2-AEC2-435FF1520517}" name="Øvelse" dataDxfId="4"/>
    <tableColumn id="5" xr3:uid="{B1EBE6C8-D377-4727-B387-C557918BB498}" name="Type" dataDxfId="3"/>
    <tableColumn id="6" xr3:uid="{CED51F35-B596-4C62-B989-54BDC8132A65}" name="Kategori" dataDxfId="2"/>
    <tableColumn id="7" xr3:uid="{2D4541F5-5518-420D-A0B4-40DBE7846B1B}" name="Fokus" dataDxfId="1"/>
    <tableColumn id="8" xr3:uid="{78EC9AC0-177D-4BBF-8538-A18DD491927B}" name="Noter"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7"/>
  <sheetViews>
    <sheetView tabSelected="1" workbookViewId="0">
      <selection activeCell="G39" sqref="G39"/>
    </sheetView>
  </sheetViews>
  <sheetFormatPr defaultRowHeight="15"/>
  <cols>
    <col min="1" max="1" width="9.140625" style="1"/>
    <col min="2" max="2" width="26.140625" style="3" customWidth="1"/>
    <col min="3" max="4" width="11.42578125" customWidth="1"/>
    <col min="5" max="5" width="7.42578125" style="4" customWidth="1"/>
    <col min="6" max="6" width="36.5703125" customWidth="1"/>
    <col min="7" max="7" width="16.5703125" style="2" customWidth="1"/>
    <col min="8" max="8" width="18.140625" style="2" customWidth="1"/>
    <col min="9" max="9" width="14.5703125" style="2" customWidth="1"/>
    <col min="10" max="11" width="16.140625" style="2" customWidth="1"/>
    <col min="12" max="12" width="19.42578125" style="4" customWidth="1"/>
    <col min="13" max="13" width="29.5703125" style="4" customWidth="1"/>
    <col min="14" max="14" width="19.42578125" style="4" customWidth="1"/>
    <col min="15" max="15" width="47.140625" customWidth="1"/>
    <col min="16" max="16" width="22.7109375" customWidth="1"/>
    <col min="17" max="18" width="12.5703125" customWidth="1"/>
    <col min="19" max="19" width="18.42578125" customWidth="1"/>
  </cols>
  <sheetData>
    <row r="1" spans="1:20">
      <c r="A1" s="7" t="s">
        <v>0</v>
      </c>
      <c r="B1" s="30" t="s">
        <v>1</v>
      </c>
      <c r="C1" s="8" t="s">
        <v>2</v>
      </c>
      <c r="D1" s="8" t="s">
        <v>3</v>
      </c>
      <c r="E1" s="30" t="s">
        <v>4</v>
      </c>
      <c r="F1" s="12" t="s">
        <v>5</v>
      </c>
      <c r="G1" s="8" t="s">
        <v>6</v>
      </c>
      <c r="H1" s="8" t="s">
        <v>7</v>
      </c>
      <c r="I1" s="8" t="s">
        <v>8</v>
      </c>
      <c r="J1" s="8" t="s">
        <v>9</v>
      </c>
      <c r="K1" s="8" t="s">
        <v>10</v>
      </c>
      <c r="L1" s="8" t="s">
        <v>11</v>
      </c>
      <c r="M1" s="29" t="s">
        <v>12</v>
      </c>
      <c r="N1" s="12" t="s">
        <v>13</v>
      </c>
      <c r="O1" s="8" t="s">
        <v>14</v>
      </c>
      <c r="P1" s="12" t="s">
        <v>15</v>
      </c>
      <c r="Q1" s="32" t="s">
        <v>16</v>
      </c>
      <c r="R1" s="32" t="s">
        <v>17</v>
      </c>
      <c r="S1" s="12" t="s">
        <v>18</v>
      </c>
      <c r="T1" s="8" t="s">
        <v>19</v>
      </c>
    </row>
    <row r="2" spans="1:20" ht="43.5" customHeight="1">
      <c r="A2" s="9">
        <v>30</v>
      </c>
      <c r="B2" s="24" t="s">
        <v>20</v>
      </c>
      <c r="C2" s="9" t="s">
        <v>21</v>
      </c>
      <c r="D2" s="14" t="s">
        <v>22</v>
      </c>
      <c r="E2" s="31" t="s">
        <v>23</v>
      </c>
      <c r="F2" s="10" t="s">
        <v>24</v>
      </c>
      <c r="G2" s="9">
        <v>0</v>
      </c>
      <c r="H2" s="9">
        <v>0</v>
      </c>
      <c r="I2" s="9">
        <v>6</v>
      </c>
      <c r="J2" s="9">
        <v>6</v>
      </c>
      <c r="K2" s="9">
        <v>3</v>
      </c>
      <c r="L2" s="13" t="s">
        <v>25</v>
      </c>
      <c r="M2" s="24" t="s">
        <v>26</v>
      </c>
      <c r="N2" s="10" t="s">
        <v>27</v>
      </c>
      <c r="O2" s="9" t="s">
        <v>28</v>
      </c>
      <c r="P2" s="10" t="s">
        <v>29</v>
      </c>
      <c r="Q2" s="10"/>
      <c r="R2" s="10"/>
      <c r="S2" s="10"/>
      <c r="T2" s="9">
        <v>7</v>
      </c>
    </row>
    <row r="3" spans="1:20" ht="32.25" hidden="1" customHeight="1">
      <c r="A3" s="9"/>
      <c r="B3" s="24" t="s">
        <v>20</v>
      </c>
      <c r="C3" s="9" t="s">
        <v>30</v>
      </c>
      <c r="D3" s="14" t="s">
        <v>22</v>
      </c>
      <c r="E3" s="31" t="s">
        <v>31</v>
      </c>
      <c r="F3" s="10" t="s">
        <v>32</v>
      </c>
      <c r="G3" s="9"/>
      <c r="H3" s="9"/>
      <c r="I3" s="9">
        <v>20</v>
      </c>
      <c r="J3" s="9">
        <v>20</v>
      </c>
      <c r="K3" s="9">
        <v>3</v>
      </c>
      <c r="L3" s="9" t="s">
        <v>25</v>
      </c>
      <c r="M3" s="24" t="s">
        <v>20</v>
      </c>
      <c r="N3" s="10"/>
      <c r="O3" s="9" t="s">
        <v>33</v>
      </c>
      <c r="P3" s="10"/>
      <c r="Q3" s="10"/>
      <c r="R3" s="10"/>
      <c r="S3" s="10"/>
      <c r="T3" s="9"/>
    </row>
    <row r="4" spans="1:20" ht="24.75" hidden="1" customHeight="1">
      <c r="A4" s="9">
        <v>21</v>
      </c>
      <c r="B4" s="24" t="s">
        <v>20</v>
      </c>
      <c r="C4" s="9" t="s">
        <v>30</v>
      </c>
      <c r="D4" s="14" t="s">
        <v>34</v>
      </c>
      <c r="E4" s="31">
        <v>1</v>
      </c>
      <c r="F4" s="10" t="s">
        <v>35</v>
      </c>
      <c r="G4" s="9">
        <v>0</v>
      </c>
      <c r="H4" s="9">
        <v>0</v>
      </c>
      <c r="I4" s="9">
        <v>12</v>
      </c>
      <c r="J4" s="9">
        <v>12</v>
      </c>
      <c r="K4" s="9">
        <v>3</v>
      </c>
      <c r="L4" s="9" t="s">
        <v>36</v>
      </c>
      <c r="M4" s="24" t="s">
        <v>37</v>
      </c>
      <c r="N4" s="10" t="s">
        <v>38</v>
      </c>
      <c r="O4" s="9" t="s">
        <v>39</v>
      </c>
      <c r="P4" s="10" t="s">
        <v>40</v>
      </c>
      <c r="Q4" s="10"/>
      <c r="R4" s="10"/>
      <c r="S4" s="10"/>
      <c r="T4" s="9">
        <v>8</v>
      </c>
    </row>
    <row r="5" spans="1:20" ht="39.75" hidden="1" customHeight="1">
      <c r="A5" s="9">
        <v>12</v>
      </c>
      <c r="B5" s="24" t="s">
        <v>20</v>
      </c>
      <c r="C5" s="9" t="s">
        <v>30</v>
      </c>
      <c r="D5" s="14" t="s">
        <v>34</v>
      </c>
      <c r="E5" s="31">
        <v>1</v>
      </c>
      <c r="F5" s="10" t="s">
        <v>41</v>
      </c>
      <c r="G5" s="9">
        <v>60</v>
      </c>
      <c r="H5" s="9">
        <v>60</v>
      </c>
      <c r="I5" s="9">
        <v>12</v>
      </c>
      <c r="J5" s="9">
        <v>10</v>
      </c>
      <c r="K5" s="9">
        <v>3</v>
      </c>
      <c r="L5" s="9" t="s">
        <v>36</v>
      </c>
      <c r="M5" s="24" t="s">
        <v>42</v>
      </c>
      <c r="N5" s="10" t="s">
        <v>43</v>
      </c>
      <c r="O5" s="9" t="s">
        <v>44</v>
      </c>
      <c r="P5" s="10" t="s">
        <v>45</v>
      </c>
      <c r="Q5" s="10"/>
      <c r="R5" s="10"/>
      <c r="S5" s="10"/>
      <c r="T5" s="9">
        <v>8</v>
      </c>
    </row>
    <row r="6" spans="1:20" ht="57" hidden="1" customHeight="1">
      <c r="A6" s="9">
        <v>24</v>
      </c>
      <c r="B6" s="24" t="s">
        <v>20</v>
      </c>
      <c r="C6" s="9" t="s">
        <v>46</v>
      </c>
      <c r="D6" s="14" t="s">
        <v>34</v>
      </c>
      <c r="E6" s="31" t="s">
        <v>47</v>
      </c>
      <c r="F6" s="10" t="s">
        <v>48</v>
      </c>
      <c r="G6" s="9">
        <v>0</v>
      </c>
      <c r="H6" s="9">
        <v>0</v>
      </c>
      <c r="I6" s="9">
        <v>12</v>
      </c>
      <c r="J6" s="9">
        <v>12</v>
      </c>
      <c r="K6" s="9">
        <v>3</v>
      </c>
      <c r="L6" s="9" t="s">
        <v>25</v>
      </c>
      <c r="M6" s="24" t="s">
        <v>20</v>
      </c>
      <c r="N6" s="10" t="s">
        <v>49</v>
      </c>
      <c r="O6" s="9" t="s">
        <v>50</v>
      </c>
      <c r="P6" s="10" t="s">
        <v>51</v>
      </c>
      <c r="Q6" s="10"/>
      <c r="R6" s="10"/>
      <c r="S6" s="10"/>
      <c r="T6" s="9">
        <v>8</v>
      </c>
    </row>
    <row r="7" spans="1:20" ht="30.75" hidden="1">
      <c r="A7" s="9">
        <v>28</v>
      </c>
      <c r="B7" s="24" t="s">
        <v>20</v>
      </c>
      <c r="C7" s="9" t="s">
        <v>21</v>
      </c>
      <c r="D7" s="14" t="s">
        <v>21</v>
      </c>
      <c r="E7" s="31">
        <v>9</v>
      </c>
      <c r="F7" s="14" t="s">
        <v>52</v>
      </c>
      <c r="G7" s="9">
        <v>80</v>
      </c>
      <c r="H7" s="9">
        <v>80</v>
      </c>
      <c r="I7" s="9">
        <v>12</v>
      </c>
      <c r="J7" s="9">
        <v>12</v>
      </c>
      <c r="K7" s="9">
        <v>3</v>
      </c>
      <c r="L7" s="9" t="s">
        <v>25</v>
      </c>
      <c r="M7" s="24" t="s">
        <v>20</v>
      </c>
      <c r="N7" s="14" t="s">
        <v>53</v>
      </c>
      <c r="O7" s="9" t="s">
        <v>54</v>
      </c>
      <c r="P7" s="10" t="s">
        <v>55</v>
      </c>
      <c r="Q7" s="10"/>
      <c r="R7" s="10"/>
      <c r="S7" s="10" t="s">
        <v>52</v>
      </c>
      <c r="T7" s="9">
        <v>8</v>
      </c>
    </row>
    <row r="8" spans="1:20" ht="41.25" hidden="1" customHeight="1">
      <c r="A8" s="9"/>
      <c r="B8" s="24" t="s">
        <v>20</v>
      </c>
      <c r="C8" s="9" t="s">
        <v>56</v>
      </c>
      <c r="D8" s="14" t="s">
        <v>57</v>
      </c>
      <c r="E8" s="31" t="s">
        <v>58</v>
      </c>
      <c r="F8" s="10" t="s">
        <v>59</v>
      </c>
      <c r="G8" s="9">
        <v>35</v>
      </c>
      <c r="H8" s="9">
        <v>35</v>
      </c>
      <c r="I8" s="9">
        <v>12</v>
      </c>
      <c r="J8" s="9">
        <v>12</v>
      </c>
      <c r="K8" s="9">
        <v>3</v>
      </c>
      <c r="L8" s="9" t="s">
        <v>25</v>
      </c>
      <c r="M8" s="24" t="s">
        <v>60</v>
      </c>
      <c r="N8" s="10" t="s">
        <v>61</v>
      </c>
      <c r="O8" s="13" t="s">
        <v>62</v>
      </c>
      <c r="P8" s="10"/>
      <c r="Q8" s="10"/>
      <c r="R8" s="10"/>
      <c r="S8" s="10"/>
      <c r="T8" s="9">
        <v>6</v>
      </c>
    </row>
    <row r="9" spans="1:20" ht="27.75" hidden="1" customHeight="1">
      <c r="A9" s="9">
        <v>11</v>
      </c>
      <c r="B9" s="24" t="s">
        <v>20</v>
      </c>
      <c r="C9" s="9" t="s">
        <v>56</v>
      </c>
      <c r="D9" s="14" t="s">
        <v>57</v>
      </c>
      <c r="E9" s="31">
        <v>9</v>
      </c>
      <c r="F9" s="10" t="s">
        <v>63</v>
      </c>
      <c r="G9" s="9">
        <v>30</v>
      </c>
      <c r="H9" s="9">
        <v>30</v>
      </c>
      <c r="I9" s="9">
        <v>12</v>
      </c>
      <c r="J9" s="9">
        <v>12</v>
      </c>
      <c r="K9" s="9">
        <v>3</v>
      </c>
      <c r="L9" s="9" t="s">
        <v>25</v>
      </c>
      <c r="M9" s="24" t="s">
        <v>20</v>
      </c>
      <c r="N9" s="10" t="s">
        <v>64</v>
      </c>
      <c r="O9" s="9" t="s">
        <v>65</v>
      </c>
      <c r="P9" s="10" t="s">
        <v>66</v>
      </c>
      <c r="Q9" s="10"/>
      <c r="R9" s="10"/>
      <c r="S9" s="10"/>
      <c r="T9" s="9">
        <v>8</v>
      </c>
    </row>
    <row r="10" spans="1:20" ht="26.25" hidden="1" customHeight="1">
      <c r="A10" s="9"/>
      <c r="B10" s="24" t="s">
        <v>20</v>
      </c>
      <c r="C10" s="9" t="s">
        <v>21</v>
      </c>
      <c r="D10" s="14" t="s">
        <v>34</v>
      </c>
      <c r="E10" s="31" t="s">
        <v>58</v>
      </c>
      <c r="F10" s="10" t="s">
        <v>67</v>
      </c>
      <c r="G10" s="9">
        <v>25</v>
      </c>
      <c r="H10" s="9">
        <v>30</v>
      </c>
      <c r="I10" s="9">
        <v>12</v>
      </c>
      <c r="J10" s="9">
        <v>12</v>
      </c>
      <c r="K10" s="9">
        <v>3</v>
      </c>
      <c r="L10" s="9" t="s">
        <v>36</v>
      </c>
      <c r="M10" s="24" t="s">
        <v>68</v>
      </c>
      <c r="N10" s="10" t="s">
        <v>69</v>
      </c>
      <c r="O10" s="13" t="s">
        <v>70</v>
      </c>
      <c r="P10" s="10"/>
      <c r="Q10" s="10"/>
      <c r="R10" s="10"/>
      <c r="S10" s="10"/>
      <c r="T10" s="9">
        <v>7</v>
      </c>
    </row>
    <row r="11" spans="1:20" ht="30" hidden="1" customHeight="1">
      <c r="A11" s="9">
        <v>3</v>
      </c>
      <c r="B11" s="24" t="s">
        <v>20</v>
      </c>
      <c r="C11" s="9" t="s">
        <v>56</v>
      </c>
      <c r="D11" s="14" t="s">
        <v>22</v>
      </c>
      <c r="E11" s="31">
        <v>2</v>
      </c>
      <c r="F11" s="10" t="s">
        <v>71</v>
      </c>
      <c r="G11" s="9">
        <v>60</v>
      </c>
      <c r="H11" s="9">
        <v>60</v>
      </c>
      <c r="I11" s="9">
        <v>11</v>
      </c>
      <c r="J11" s="9">
        <v>11</v>
      </c>
      <c r="K11" s="9">
        <v>3</v>
      </c>
      <c r="L11" s="9" t="s">
        <v>36</v>
      </c>
      <c r="M11" s="24" t="s">
        <v>68</v>
      </c>
      <c r="N11" s="10" t="s">
        <v>72</v>
      </c>
      <c r="O11" s="9" t="s">
        <v>73</v>
      </c>
      <c r="P11" s="10" t="s">
        <v>74</v>
      </c>
      <c r="Q11" s="10"/>
      <c r="R11" s="10"/>
      <c r="S11" s="10"/>
      <c r="T11" s="9">
        <v>8</v>
      </c>
    </row>
    <row r="12" spans="1:20" ht="30" hidden="1" customHeight="1">
      <c r="A12" s="9"/>
      <c r="B12" s="24" t="s">
        <v>20</v>
      </c>
      <c r="C12" s="9" t="s">
        <v>30</v>
      </c>
      <c r="D12" s="14" t="s">
        <v>34</v>
      </c>
      <c r="E12" s="31">
        <v>1</v>
      </c>
      <c r="F12" s="10" t="s">
        <v>75</v>
      </c>
      <c r="G12" s="9">
        <v>45</v>
      </c>
      <c r="H12" s="9">
        <v>40</v>
      </c>
      <c r="I12" s="9">
        <v>10</v>
      </c>
      <c r="J12" s="9">
        <v>10</v>
      </c>
      <c r="K12" s="9">
        <v>3</v>
      </c>
      <c r="L12" s="9" t="s">
        <v>36</v>
      </c>
      <c r="M12" s="24" t="s">
        <v>76</v>
      </c>
      <c r="N12" s="14" t="s">
        <v>77</v>
      </c>
      <c r="O12" s="9" t="s">
        <v>78</v>
      </c>
      <c r="P12" s="10"/>
      <c r="Q12" s="10"/>
      <c r="R12" s="10"/>
      <c r="S12" s="10"/>
      <c r="T12" s="9"/>
    </row>
    <row r="13" spans="1:20" ht="30" hidden="1" customHeight="1">
      <c r="A13" s="9">
        <v>26</v>
      </c>
      <c r="B13" s="24" t="s">
        <v>20</v>
      </c>
      <c r="C13" s="9" t="s">
        <v>46</v>
      </c>
      <c r="D13" s="14" t="s">
        <v>34</v>
      </c>
      <c r="E13" s="31" t="s">
        <v>58</v>
      </c>
      <c r="F13" s="10" t="s">
        <v>79</v>
      </c>
      <c r="G13" s="9">
        <v>20</v>
      </c>
      <c r="H13" s="9">
        <v>20</v>
      </c>
      <c r="I13" s="9">
        <v>20</v>
      </c>
      <c r="J13" s="9">
        <v>20</v>
      </c>
      <c r="K13" s="9">
        <v>3</v>
      </c>
      <c r="L13" s="9" t="s">
        <v>36</v>
      </c>
      <c r="M13" s="24" t="s">
        <v>68</v>
      </c>
      <c r="N13" s="10" t="s">
        <v>80</v>
      </c>
      <c r="O13" s="9" t="s">
        <v>81</v>
      </c>
      <c r="P13" s="10" t="s">
        <v>82</v>
      </c>
      <c r="Q13" s="10"/>
      <c r="R13" s="10"/>
      <c r="S13" s="10"/>
      <c r="T13" s="9">
        <v>8</v>
      </c>
    </row>
    <row r="14" spans="1:20" ht="51" hidden="1" customHeight="1">
      <c r="A14" s="9">
        <v>8</v>
      </c>
      <c r="B14" s="24" t="s">
        <v>20</v>
      </c>
      <c r="C14" s="9" t="s">
        <v>56</v>
      </c>
      <c r="D14" s="14" t="s">
        <v>34</v>
      </c>
      <c r="E14" s="31" t="s">
        <v>47</v>
      </c>
      <c r="F14" s="10" t="s">
        <v>83</v>
      </c>
      <c r="G14" s="9" t="s">
        <v>84</v>
      </c>
      <c r="H14" s="9" t="s">
        <v>84</v>
      </c>
      <c r="I14" s="9">
        <v>12</v>
      </c>
      <c r="J14" s="9">
        <v>12</v>
      </c>
      <c r="K14" s="9">
        <v>3</v>
      </c>
      <c r="L14" s="9" t="s">
        <v>25</v>
      </c>
      <c r="M14" s="24" t="s">
        <v>20</v>
      </c>
      <c r="N14" s="10" t="s">
        <v>85</v>
      </c>
      <c r="O14" s="9" t="s">
        <v>86</v>
      </c>
      <c r="P14" s="10" t="s">
        <v>87</v>
      </c>
      <c r="Q14" s="10"/>
      <c r="R14" s="10"/>
      <c r="S14" s="10"/>
      <c r="T14" s="9">
        <v>8</v>
      </c>
    </row>
    <row r="15" spans="1:20" ht="30" hidden="1" customHeight="1">
      <c r="A15" s="9"/>
      <c r="B15" s="24" t="s">
        <v>20</v>
      </c>
      <c r="C15" s="9" t="s">
        <v>21</v>
      </c>
      <c r="D15" s="14" t="s">
        <v>57</v>
      </c>
      <c r="E15" s="31" t="s">
        <v>47</v>
      </c>
      <c r="F15" s="10" t="s">
        <v>88</v>
      </c>
      <c r="G15" s="9">
        <v>40</v>
      </c>
      <c r="H15" s="9">
        <v>40</v>
      </c>
      <c r="I15" s="9">
        <v>3</v>
      </c>
      <c r="J15" s="9">
        <v>3</v>
      </c>
      <c r="K15" s="9">
        <v>3</v>
      </c>
      <c r="L15" s="9" t="s">
        <v>25</v>
      </c>
      <c r="M15" s="24" t="s">
        <v>89</v>
      </c>
      <c r="N15" s="10"/>
      <c r="O15" s="9" t="s">
        <v>90</v>
      </c>
      <c r="P15" s="10" t="s">
        <v>91</v>
      </c>
      <c r="Q15" s="10"/>
      <c r="R15" s="10"/>
      <c r="S15" s="10" t="s">
        <v>88</v>
      </c>
      <c r="T15" s="9">
        <v>8</v>
      </c>
    </row>
    <row r="16" spans="1:20" ht="41.25" hidden="1" customHeight="1">
      <c r="A16" s="9">
        <v>6</v>
      </c>
      <c r="B16" s="24" t="s">
        <v>20</v>
      </c>
      <c r="C16" s="9" t="s">
        <v>56</v>
      </c>
      <c r="D16" s="14" t="s">
        <v>22</v>
      </c>
      <c r="E16" s="31" t="s">
        <v>31</v>
      </c>
      <c r="F16" s="10" t="s">
        <v>92</v>
      </c>
      <c r="G16" s="9" t="s">
        <v>93</v>
      </c>
      <c r="H16" s="9" t="s">
        <v>93</v>
      </c>
      <c r="I16" s="9">
        <v>20</v>
      </c>
      <c r="J16" s="9">
        <v>20</v>
      </c>
      <c r="K16" s="9">
        <v>3</v>
      </c>
      <c r="L16" s="9" t="s">
        <v>25</v>
      </c>
      <c r="M16" s="24" t="s">
        <v>94</v>
      </c>
      <c r="N16" s="10"/>
      <c r="O16" s="9" t="s">
        <v>95</v>
      </c>
      <c r="P16" s="10" t="s">
        <v>96</v>
      </c>
      <c r="Q16" s="10"/>
      <c r="R16" s="10"/>
      <c r="S16" s="10" t="s">
        <v>92</v>
      </c>
      <c r="T16" s="9">
        <v>8</v>
      </c>
    </row>
    <row r="17" spans="1:20" ht="48" hidden="1" customHeight="1">
      <c r="A17" s="9">
        <v>27</v>
      </c>
      <c r="B17" s="24" t="s">
        <v>20</v>
      </c>
      <c r="C17" s="9" t="s">
        <v>21</v>
      </c>
      <c r="D17" s="14" t="s">
        <v>21</v>
      </c>
      <c r="E17" s="31" t="s">
        <v>47</v>
      </c>
      <c r="F17" s="10" t="s">
        <v>97</v>
      </c>
      <c r="G17" s="9">
        <v>0</v>
      </c>
      <c r="H17" s="9">
        <v>0</v>
      </c>
      <c r="I17" s="9">
        <v>16</v>
      </c>
      <c r="J17" s="9">
        <v>10</v>
      </c>
      <c r="K17" s="9">
        <v>3</v>
      </c>
      <c r="L17" s="9" t="s">
        <v>36</v>
      </c>
      <c r="M17" s="24" t="s">
        <v>42</v>
      </c>
      <c r="N17" s="10" t="s">
        <v>98</v>
      </c>
      <c r="O17" s="9" t="s">
        <v>99</v>
      </c>
      <c r="P17" s="10" t="s">
        <v>100</v>
      </c>
      <c r="Q17" s="10"/>
      <c r="R17" s="10"/>
      <c r="S17" s="10"/>
      <c r="T17" s="9">
        <v>7</v>
      </c>
    </row>
    <row r="18" spans="1:20" ht="27.75" hidden="1" customHeight="1">
      <c r="A18" s="9"/>
      <c r="B18" s="24" t="s">
        <v>20</v>
      </c>
      <c r="C18" s="9" t="s">
        <v>30</v>
      </c>
      <c r="D18" s="14" t="s">
        <v>34</v>
      </c>
      <c r="E18" s="31" t="s">
        <v>101</v>
      </c>
      <c r="F18" s="10" t="s">
        <v>102</v>
      </c>
      <c r="G18" s="9">
        <v>35</v>
      </c>
      <c r="H18" s="9">
        <v>35</v>
      </c>
      <c r="I18" s="9">
        <v>18</v>
      </c>
      <c r="J18" s="9">
        <v>18</v>
      </c>
      <c r="K18" s="9">
        <v>3</v>
      </c>
      <c r="L18" s="9" t="s">
        <v>25</v>
      </c>
      <c r="M18" s="24" t="s">
        <v>103</v>
      </c>
      <c r="N18" s="10" t="s">
        <v>104</v>
      </c>
      <c r="O18" s="13" t="s">
        <v>105</v>
      </c>
      <c r="P18" s="10"/>
      <c r="Q18" s="10"/>
      <c r="R18" s="10"/>
      <c r="S18" s="10"/>
      <c r="T18" s="9">
        <v>8</v>
      </c>
    </row>
    <row r="19" spans="1:20" ht="46.5" hidden="1" customHeight="1">
      <c r="A19" s="9">
        <v>7</v>
      </c>
      <c r="B19" s="24" t="s">
        <v>20</v>
      </c>
      <c r="C19" s="9" t="s">
        <v>56</v>
      </c>
      <c r="D19" s="14" t="s">
        <v>22</v>
      </c>
      <c r="E19" s="31" t="s">
        <v>31</v>
      </c>
      <c r="F19" s="10" t="s">
        <v>106</v>
      </c>
      <c r="G19" s="9" t="s">
        <v>107</v>
      </c>
      <c r="H19" s="9" t="s">
        <v>107</v>
      </c>
      <c r="I19" s="9">
        <v>8</v>
      </c>
      <c r="J19" s="9">
        <v>8</v>
      </c>
      <c r="K19" s="9">
        <v>3</v>
      </c>
      <c r="L19" s="9" t="s">
        <v>25</v>
      </c>
      <c r="M19" s="24" t="s">
        <v>20</v>
      </c>
      <c r="N19" s="10" t="s">
        <v>108</v>
      </c>
      <c r="O19" s="9" t="s">
        <v>109</v>
      </c>
      <c r="P19" s="10" t="s">
        <v>110</v>
      </c>
      <c r="Q19" s="10"/>
      <c r="R19" s="10"/>
      <c r="S19" s="10"/>
      <c r="T19" s="9">
        <v>8</v>
      </c>
    </row>
    <row r="20" spans="1:20" ht="36.75" hidden="1" customHeight="1">
      <c r="A20" s="9">
        <v>16</v>
      </c>
      <c r="B20" s="24" t="s">
        <v>20</v>
      </c>
      <c r="C20" s="9" t="s">
        <v>30</v>
      </c>
      <c r="D20" s="14" t="s">
        <v>57</v>
      </c>
      <c r="E20" s="31">
        <v>1</v>
      </c>
      <c r="F20" s="10" t="s">
        <v>111</v>
      </c>
      <c r="G20" s="9">
        <v>8</v>
      </c>
      <c r="H20" s="9">
        <v>8</v>
      </c>
      <c r="I20" s="9">
        <v>12</v>
      </c>
      <c r="J20" s="9">
        <v>12</v>
      </c>
      <c r="K20" s="9">
        <v>3</v>
      </c>
      <c r="L20" s="9" t="s">
        <v>36</v>
      </c>
      <c r="M20" s="24" t="s">
        <v>76</v>
      </c>
      <c r="N20" s="10" t="s">
        <v>112</v>
      </c>
      <c r="O20" s="9" t="s">
        <v>113</v>
      </c>
      <c r="P20" s="10" t="s">
        <v>114</v>
      </c>
      <c r="Q20" s="10"/>
      <c r="R20" s="10"/>
      <c r="S20" s="10"/>
      <c r="T20" s="9">
        <v>8</v>
      </c>
    </row>
    <row r="21" spans="1:20" ht="47.25" hidden="1" customHeight="1">
      <c r="A21" s="9">
        <v>23</v>
      </c>
      <c r="B21" s="24" t="s">
        <v>20</v>
      </c>
      <c r="C21" s="9" t="s">
        <v>46</v>
      </c>
      <c r="D21" s="14" t="s">
        <v>22</v>
      </c>
      <c r="E21" s="31" t="s">
        <v>47</v>
      </c>
      <c r="F21" s="10" t="s">
        <v>115</v>
      </c>
      <c r="G21" s="9">
        <v>160</v>
      </c>
      <c r="H21" s="9">
        <v>160</v>
      </c>
      <c r="I21" s="9">
        <v>8</v>
      </c>
      <c r="J21" s="9">
        <v>8</v>
      </c>
      <c r="K21" s="9">
        <v>3</v>
      </c>
      <c r="L21" s="9" t="s">
        <v>25</v>
      </c>
      <c r="M21" s="24" t="s">
        <v>116</v>
      </c>
      <c r="N21" s="10"/>
      <c r="O21" s="11" t="s">
        <v>117</v>
      </c>
      <c r="P21" s="10" t="s">
        <v>118</v>
      </c>
      <c r="Q21" s="10"/>
      <c r="R21" s="10"/>
      <c r="S21" s="10" t="s">
        <v>115</v>
      </c>
      <c r="T21" s="9">
        <v>7</v>
      </c>
    </row>
    <row r="22" spans="1:20" ht="44.25" hidden="1" customHeight="1">
      <c r="A22" s="9"/>
      <c r="B22" s="24" t="s">
        <v>20</v>
      </c>
      <c r="C22" s="9" t="s">
        <v>21</v>
      </c>
      <c r="D22" s="14" t="s">
        <v>21</v>
      </c>
      <c r="E22" s="31">
        <v>9</v>
      </c>
      <c r="F22" s="10" t="s">
        <v>119</v>
      </c>
      <c r="G22" s="9">
        <v>15</v>
      </c>
      <c r="H22" s="9">
        <v>15</v>
      </c>
      <c r="I22" s="9">
        <v>12</v>
      </c>
      <c r="J22" s="9">
        <v>12</v>
      </c>
      <c r="K22" s="9">
        <v>3</v>
      </c>
      <c r="L22" s="9" t="s">
        <v>25</v>
      </c>
      <c r="M22" s="24" t="s">
        <v>20</v>
      </c>
      <c r="N22" s="10" t="s">
        <v>120</v>
      </c>
      <c r="O22" s="13" t="s">
        <v>121</v>
      </c>
      <c r="P22" s="10"/>
      <c r="Q22" s="10"/>
      <c r="R22" s="10"/>
      <c r="S22" s="10"/>
      <c r="T22" s="9">
        <v>7</v>
      </c>
    </row>
    <row r="23" spans="1:20" ht="27" hidden="1" customHeight="1">
      <c r="A23" s="9"/>
      <c r="B23" s="24" t="s">
        <v>20</v>
      </c>
      <c r="C23" s="9" t="s">
        <v>21</v>
      </c>
      <c r="D23" s="14" t="s">
        <v>57</v>
      </c>
      <c r="E23" s="31">
        <v>9</v>
      </c>
      <c r="F23" s="10" t="s">
        <v>122</v>
      </c>
      <c r="G23" s="9"/>
      <c r="H23" s="9"/>
      <c r="I23" s="9"/>
      <c r="J23" s="9"/>
      <c r="K23" s="9">
        <v>3</v>
      </c>
      <c r="L23" s="9" t="s">
        <v>25</v>
      </c>
      <c r="M23" s="24" t="s">
        <v>26</v>
      </c>
      <c r="N23" s="10" t="s">
        <v>123</v>
      </c>
      <c r="O23" s="13" t="s">
        <v>124</v>
      </c>
      <c r="P23" s="10"/>
      <c r="Q23" s="10"/>
      <c r="R23" s="10"/>
      <c r="S23" s="10"/>
      <c r="T23" s="9">
        <v>7</v>
      </c>
    </row>
    <row r="24" spans="1:20" ht="40.5" customHeight="1">
      <c r="A24" s="9"/>
      <c r="B24" s="24" t="s">
        <v>20</v>
      </c>
      <c r="C24" s="9" t="s">
        <v>21</v>
      </c>
      <c r="D24" s="14" t="s">
        <v>21</v>
      </c>
      <c r="E24" s="31" t="s">
        <v>23</v>
      </c>
      <c r="F24" s="10" t="s">
        <v>125</v>
      </c>
      <c r="G24" s="9">
        <v>15</v>
      </c>
      <c r="H24" s="9">
        <v>15</v>
      </c>
      <c r="I24" s="9">
        <v>12</v>
      </c>
      <c r="J24" s="9">
        <v>12</v>
      </c>
      <c r="K24" s="9">
        <v>3</v>
      </c>
      <c r="L24" s="9" t="s">
        <v>25</v>
      </c>
      <c r="M24" s="24" t="s">
        <v>20</v>
      </c>
      <c r="N24" s="10" t="s">
        <v>126</v>
      </c>
      <c r="O24" s="13" t="s">
        <v>127</v>
      </c>
      <c r="P24" s="10"/>
      <c r="Q24" s="10"/>
      <c r="R24" s="10"/>
      <c r="S24" s="10"/>
      <c r="T24" s="9">
        <v>6</v>
      </c>
    </row>
    <row r="25" spans="1:20" ht="40.5" hidden="1" customHeight="1">
      <c r="A25" s="9"/>
      <c r="B25" s="24" t="s">
        <v>20</v>
      </c>
      <c r="C25" s="9" t="s">
        <v>21</v>
      </c>
      <c r="D25" s="14" t="s">
        <v>22</v>
      </c>
      <c r="E25" s="31">
        <v>9</v>
      </c>
      <c r="F25" s="10" t="s">
        <v>128</v>
      </c>
      <c r="G25" s="9">
        <v>15</v>
      </c>
      <c r="H25" s="9">
        <v>15</v>
      </c>
      <c r="I25" s="9">
        <v>12</v>
      </c>
      <c r="J25" s="9">
        <v>12</v>
      </c>
      <c r="K25" s="9">
        <v>3</v>
      </c>
      <c r="L25" s="9" t="s">
        <v>25</v>
      </c>
      <c r="M25" s="24" t="s">
        <v>20</v>
      </c>
      <c r="N25" s="10" t="s">
        <v>129</v>
      </c>
      <c r="O25" s="13" t="s">
        <v>130</v>
      </c>
      <c r="P25" s="10"/>
      <c r="Q25" s="10"/>
      <c r="R25" s="10"/>
      <c r="S25" s="10"/>
      <c r="T25" s="9">
        <v>6</v>
      </c>
    </row>
    <row r="26" spans="1:20" ht="38.25" hidden="1" customHeight="1">
      <c r="A26" s="9">
        <v>5</v>
      </c>
      <c r="B26" s="24" t="s">
        <v>20</v>
      </c>
      <c r="C26" s="9" t="s">
        <v>56</v>
      </c>
      <c r="D26" s="14" t="s">
        <v>22</v>
      </c>
      <c r="E26" s="31">
        <v>2</v>
      </c>
      <c r="F26" s="10" t="s">
        <v>131</v>
      </c>
      <c r="G26" s="9">
        <v>90</v>
      </c>
      <c r="H26" s="9">
        <v>90</v>
      </c>
      <c r="I26" s="9">
        <v>12</v>
      </c>
      <c r="J26" s="9">
        <v>10</v>
      </c>
      <c r="K26" s="9">
        <v>3</v>
      </c>
      <c r="L26" s="9" t="s">
        <v>36</v>
      </c>
      <c r="M26" s="24" t="s">
        <v>68</v>
      </c>
      <c r="N26" s="10"/>
      <c r="O26" s="9" t="s">
        <v>132</v>
      </c>
      <c r="P26" s="10" t="s">
        <v>133</v>
      </c>
      <c r="Q26" s="10"/>
      <c r="R26" s="10"/>
      <c r="S26" s="10" t="s">
        <v>131</v>
      </c>
      <c r="T26" s="9">
        <v>8</v>
      </c>
    </row>
    <row r="27" spans="1:20" ht="36" hidden="1" customHeight="1">
      <c r="A27" s="9">
        <v>29</v>
      </c>
      <c r="B27" s="24" t="s">
        <v>20</v>
      </c>
      <c r="C27" s="9" t="s">
        <v>21</v>
      </c>
      <c r="D27" s="14" t="s">
        <v>21</v>
      </c>
      <c r="E27" s="31" t="s">
        <v>31</v>
      </c>
      <c r="F27" s="10" t="s">
        <v>134</v>
      </c>
      <c r="G27" s="9">
        <v>0</v>
      </c>
      <c r="H27" s="9">
        <v>0</v>
      </c>
      <c r="I27" s="9">
        <v>60</v>
      </c>
      <c r="J27" s="9">
        <v>60</v>
      </c>
      <c r="K27" s="9">
        <v>3</v>
      </c>
      <c r="L27" s="9" t="s">
        <v>25</v>
      </c>
      <c r="M27" s="24" t="s">
        <v>135</v>
      </c>
      <c r="N27" s="10" t="s">
        <v>136</v>
      </c>
      <c r="O27" s="9" t="s">
        <v>137</v>
      </c>
      <c r="P27" s="10" t="s">
        <v>138</v>
      </c>
      <c r="Q27" s="10"/>
      <c r="R27" s="10"/>
      <c r="S27" s="10"/>
      <c r="T27" s="9">
        <v>7</v>
      </c>
    </row>
    <row r="28" spans="1:20" ht="45" hidden="1" customHeight="1">
      <c r="A28" s="9">
        <v>1</v>
      </c>
      <c r="B28" s="24" t="s">
        <v>20</v>
      </c>
      <c r="C28" s="9" t="s">
        <v>56</v>
      </c>
      <c r="D28" s="14" t="s">
        <v>34</v>
      </c>
      <c r="E28" s="31">
        <v>9</v>
      </c>
      <c r="F28" s="10" t="s">
        <v>139</v>
      </c>
      <c r="G28" s="9">
        <v>0</v>
      </c>
      <c r="H28" s="9">
        <v>0</v>
      </c>
      <c r="I28" s="9">
        <v>3</v>
      </c>
      <c r="J28" s="9">
        <v>3</v>
      </c>
      <c r="K28" s="9">
        <v>3</v>
      </c>
      <c r="L28" s="9" t="s">
        <v>25</v>
      </c>
      <c r="M28" s="24" t="s">
        <v>20</v>
      </c>
      <c r="N28" s="10" t="s">
        <v>140</v>
      </c>
      <c r="O28" s="9" t="s">
        <v>141</v>
      </c>
      <c r="P28" s="10" t="s">
        <v>142</v>
      </c>
      <c r="Q28" s="10"/>
      <c r="R28" s="10"/>
      <c r="S28" s="10"/>
      <c r="T28" s="9">
        <v>8</v>
      </c>
    </row>
    <row r="29" spans="1:20" ht="30" hidden="1" customHeight="1">
      <c r="A29" s="9">
        <v>2</v>
      </c>
      <c r="B29" s="24" t="s">
        <v>20</v>
      </c>
      <c r="C29" s="9" t="s">
        <v>56</v>
      </c>
      <c r="D29" s="14" t="s">
        <v>34</v>
      </c>
      <c r="E29" s="31" t="s">
        <v>58</v>
      </c>
      <c r="F29" s="10" t="s">
        <v>143</v>
      </c>
      <c r="G29" s="9">
        <v>0</v>
      </c>
      <c r="H29" s="9">
        <v>0</v>
      </c>
      <c r="I29" s="9">
        <v>6</v>
      </c>
      <c r="J29" s="9">
        <v>6</v>
      </c>
      <c r="K29" s="9">
        <v>3</v>
      </c>
      <c r="L29" s="9" t="s">
        <v>36</v>
      </c>
      <c r="M29" s="24" t="s">
        <v>42</v>
      </c>
      <c r="N29" s="10" t="s">
        <v>140</v>
      </c>
      <c r="O29" s="9" t="s">
        <v>144</v>
      </c>
      <c r="P29" s="10" t="s">
        <v>145</v>
      </c>
      <c r="Q29" s="10"/>
      <c r="R29" s="10"/>
      <c r="S29" s="10"/>
      <c r="T29" s="9">
        <v>8</v>
      </c>
    </row>
    <row r="30" spans="1:20" ht="24.75" hidden="1" customHeight="1">
      <c r="A30" s="9">
        <v>14</v>
      </c>
      <c r="B30" s="24" t="s">
        <v>20</v>
      </c>
      <c r="C30" s="9" t="s">
        <v>30</v>
      </c>
      <c r="D30" s="14" t="s">
        <v>22</v>
      </c>
      <c r="E30" s="31" t="s">
        <v>31</v>
      </c>
      <c r="F30" s="10" t="s">
        <v>146</v>
      </c>
      <c r="G30" s="9">
        <v>0</v>
      </c>
      <c r="H30" s="9">
        <v>0</v>
      </c>
      <c r="I30" s="9">
        <v>20</v>
      </c>
      <c r="J30" s="9">
        <v>20</v>
      </c>
      <c r="K30" s="9">
        <v>3</v>
      </c>
      <c r="L30" s="9" t="s">
        <v>25</v>
      </c>
      <c r="M30" s="24" t="s">
        <v>20</v>
      </c>
      <c r="N30" s="10" t="s">
        <v>147</v>
      </c>
      <c r="O30" s="9" t="s">
        <v>148</v>
      </c>
      <c r="P30" s="10" t="s">
        <v>149</v>
      </c>
      <c r="Q30" s="10"/>
      <c r="R30" s="10"/>
      <c r="S30" s="10"/>
      <c r="T30" s="9">
        <v>8</v>
      </c>
    </row>
    <row r="31" spans="1:20" ht="42" hidden="1" customHeight="1">
      <c r="A31" s="9"/>
      <c r="B31" s="24" t="s">
        <v>20</v>
      </c>
      <c r="C31" s="9" t="s">
        <v>56</v>
      </c>
      <c r="D31" s="14" t="s">
        <v>22</v>
      </c>
      <c r="E31" s="31">
        <v>2</v>
      </c>
      <c r="F31" s="10" t="s">
        <v>150</v>
      </c>
      <c r="G31" s="9">
        <v>30</v>
      </c>
      <c r="H31" s="9">
        <v>30</v>
      </c>
      <c r="I31" s="9">
        <v>12</v>
      </c>
      <c r="J31" s="9">
        <v>12</v>
      </c>
      <c r="K31" s="9">
        <v>3</v>
      </c>
      <c r="L31" s="9" t="s">
        <v>25</v>
      </c>
      <c r="M31" s="24" t="s">
        <v>94</v>
      </c>
      <c r="N31" s="10" t="s">
        <v>151</v>
      </c>
      <c r="O31" s="13" t="s">
        <v>152</v>
      </c>
      <c r="P31" s="10"/>
      <c r="Q31" s="10"/>
      <c r="R31" s="10"/>
      <c r="S31" s="10"/>
      <c r="T31" s="9">
        <v>8</v>
      </c>
    </row>
    <row r="32" spans="1:20" ht="27" hidden="1" customHeight="1">
      <c r="A32" s="9">
        <v>4</v>
      </c>
      <c r="B32" s="24" t="s">
        <v>20</v>
      </c>
      <c r="C32" s="9" t="s">
        <v>56</v>
      </c>
      <c r="D32" s="14" t="s">
        <v>57</v>
      </c>
      <c r="E32" s="31" t="s">
        <v>58</v>
      </c>
      <c r="F32" s="10" t="s">
        <v>153</v>
      </c>
      <c r="G32" s="9">
        <v>75</v>
      </c>
      <c r="H32" s="9">
        <v>75</v>
      </c>
      <c r="I32" s="9">
        <v>12</v>
      </c>
      <c r="J32" s="9">
        <v>12</v>
      </c>
      <c r="K32" s="9">
        <v>3</v>
      </c>
      <c r="L32" s="9" t="s">
        <v>36</v>
      </c>
      <c r="M32" s="24" t="s">
        <v>68</v>
      </c>
      <c r="N32" s="10"/>
      <c r="O32" s="9" t="s">
        <v>154</v>
      </c>
      <c r="P32" s="10" t="s">
        <v>155</v>
      </c>
      <c r="Q32" s="10"/>
      <c r="R32" s="10"/>
      <c r="S32" s="10" t="s">
        <v>153</v>
      </c>
      <c r="T32" s="9">
        <v>8</v>
      </c>
    </row>
    <row r="33" spans="1:20" ht="38.25" hidden="1" customHeight="1">
      <c r="A33" s="9"/>
      <c r="B33" s="24" t="s">
        <v>20</v>
      </c>
      <c r="C33" s="9" t="s">
        <v>21</v>
      </c>
      <c r="D33" s="14" t="s">
        <v>34</v>
      </c>
      <c r="E33" s="31" t="s">
        <v>156</v>
      </c>
      <c r="F33" s="10" t="s">
        <v>157</v>
      </c>
      <c r="G33" s="9">
        <v>905</v>
      </c>
      <c r="H33" s="9">
        <v>905</v>
      </c>
      <c r="I33" s="9">
        <v>4</v>
      </c>
      <c r="J33" s="9">
        <v>4</v>
      </c>
      <c r="K33" s="9">
        <v>1</v>
      </c>
      <c r="L33" s="9" t="s">
        <v>25</v>
      </c>
      <c r="M33" s="24" t="s">
        <v>116</v>
      </c>
      <c r="N33" s="10" t="s">
        <v>85</v>
      </c>
      <c r="O33" s="9" t="s">
        <v>158</v>
      </c>
      <c r="P33" s="10" t="s">
        <v>159</v>
      </c>
      <c r="Q33" s="10"/>
      <c r="R33" s="10"/>
      <c r="S33" s="10"/>
      <c r="T33" s="9">
        <v>7</v>
      </c>
    </row>
    <row r="34" spans="1:20" ht="60.75" hidden="1">
      <c r="A34" s="9"/>
      <c r="B34" s="24" t="s">
        <v>20</v>
      </c>
      <c r="C34" s="9" t="s">
        <v>56</v>
      </c>
      <c r="D34" s="14" t="s">
        <v>34</v>
      </c>
      <c r="E34" s="31" t="s">
        <v>58</v>
      </c>
      <c r="F34" s="10" t="s">
        <v>160</v>
      </c>
      <c r="G34" s="9">
        <v>85</v>
      </c>
      <c r="H34" s="9">
        <v>85</v>
      </c>
      <c r="I34" s="9">
        <v>12</v>
      </c>
      <c r="J34" s="9">
        <v>12</v>
      </c>
      <c r="K34" s="9">
        <v>3</v>
      </c>
      <c r="L34" s="9" t="s">
        <v>36</v>
      </c>
      <c r="M34" s="24" t="s">
        <v>161</v>
      </c>
      <c r="N34" s="10" t="s">
        <v>162</v>
      </c>
      <c r="O34" s="13" t="s">
        <v>163</v>
      </c>
      <c r="P34" s="10"/>
      <c r="Q34" s="10"/>
      <c r="R34" s="10"/>
      <c r="S34" s="10"/>
      <c r="T34" s="9">
        <v>8</v>
      </c>
    </row>
    <row r="35" spans="1:20" ht="45.75" hidden="1">
      <c r="A35" s="9">
        <v>15</v>
      </c>
      <c r="B35" s="24" t="s">
        <v>20</v>
      </c>
      <c r="C35" s="9" t="s">
        <v>30</v>
      </c>
      <c r="D35" s="14" t="s">
        <v>34</v>
      </c>
      <c r="E35" s="31" t="s">
        <v>101</v>
      </c>
      <c r="F35" s="10" t="s">
        <v>164</v>
      </c>
      <c r="G35" s="9">
        <v>35</v>
      </c>
      <c r="H35" s="9">
        <v>35</v>
      </c>
      <c r="I35" s="9">
        <v>12</v>
      </c>
      <c r="J35" s="9">
        <v>12</v>
      </c>
      <c r="K35" s="9">
        <v>3</v>
      </c>
      <c r="L35" s="9" t="s">
        <v>25</v>
      </c>
      <c r="M35" s="24" t="s">
        <v>20</v>
      </c>
      <c r="N35" s="10"/>
      <c r="O35" s="9" t="s">
        <v>165</v>
      </c>
      <c r="P35" s="10" t="s">
        <v>166</v>
      </c>
      <c r="Q35" s="10"/>
      <c r="R35" s="10"/>
      <c r="S35" s="10" t="s">
        <v>164</v>
      </c>
      <c r="T35" s="9">
        <v>7</v>
      </c>
    </row>
    <row r="36" spans="1:20" ht="45.75">
      <c r="A36" s="9"/>
      <c r="B36" s="24" t="s">
        <v>20</v>
      </c>
      <c r="C36" s="9" t="s">
        <v>46</v>
      </c>
      <c r="D36" s="14" t="s">
        <v>22</v>
      </c>
      <c r="E36" s="31" t="s">
        <v>23</v>
      </c>
      <c r="F36" s="10" t="s">
        <v>167</v>
      </c>
      <c r="G36" s="9"/>
      <c r="H36" s="9"/>
      <c r="I36" s="9"/>
      <c r="J36" s="9"/>
      <c r="K36" s="9">
        <v>3</v>
      </c>
      <c r="L36" s="9" t="s">
        <v>25</v>
      </c>
      <c r="M36" s="24" t="s">
        <v>20</v>
      </c>
      <c r="N36" s="10" t="s">
        <v>168</v>
      </c>
      <c r="O36" s="13" t="s">
        <v>169</v>
      </c>
      <c r="P36" s="10"/>
      <c r="Q36" s="10"/>
      <c r="R36" s="10"/>
      <c r="S36" s="10"/>
      <c r="T36" s="9">
        <v>8</v>
      </c>
    </row>
    <row r="37" spans="1:20" ht="61.5" hidden="1" customHeight="1">
      <c r="A37" s="9">
        <v>19</v>
      </c>
      <c r="B37" s="24" t="s">
        <v>20</v>
      </c>
      <c r="C37" s="9" t="s">
        <v>30</v>
      </c>
      <c r="D37" s="14" t="s">
        <v>22</v>
      </c>
      <c r="E37" s="31">
        <v>9</v>
      </c>
      <c r="F37" s="10" t="s">
        <v>170</v>
      </c>
      <c r="G37" s="9">
        <v>8</v>
      </c>
      <c r="H37" s="9">
        <v>8</v>
      </c>
      <c r="I37" s="9">
        <v>12</v>
      </c>
      <c r="J37" s="9">
        <v>12</v>
      </c>
      <c r="K37" s="9">
        <v>3</v>
      </c>
      <c r="L37" s="9" t="s">
        <v>25</v>
      </c>
      <c r="M37" s="24" t="s">
        <v>20</v>
      </c>
      <c r="N37" s="10" t="s">
        <v>171</v>
      </c>
      <c r="O37" s="9" t="s">
        <v>172</v>
      </c>
      <c r="P37" s="10" t="s">
        <v>173</v>
      </c>
      <c r="Q37" s="10"/>
      <c r="R37" s="10"/>
      <c r="S37" s="10"/>
      <c r="T37" s="9">
        <v>8</v>
      </c>
    </row>
    <row r="38" spans="1:20" ht="45.75" hidden="1">
      <c r="A38" s="9"/>
      <c r="B38" s="24" t="s">
        <v>20</v>
      </c>
      <c r="C38" s="9" t="s">
        <v>56</v>
      </c>
      <c r="D38" s="14" t="s">
        <v>34</v>
      </c>
      <c r="E38" s="31" t="s">
        <v>58</v>
      </c>
      <c r="F38" s="10" t="s">
        <v>174</v>
      </c>
      <c r="G38" s="9">
        <v>40</v>
      </c>
      <c r="H38" s="9">
        <v>40</v>
      </c>
      <c r="I38" s="9">
        <v>6</v>
      </c>
      <c r="J38" s="9">
        <v>6</v>
      </c>
      <c r="K38" s="9">
        <v>3</v>
      </c>
      <c r="L38" s="9" t="s">
        <v>36</v>
      </c>
      <c r="M38" s="24" t="s">
        <v>37</v>
      </c>
      <c r="N38" s="10" t="s">
        <v>175</v>
      </c>
      <c r="O38" s="13" t="s">
        <v>176</v>
      </c>
      <c r="P38" s="10"/>
      <c r="Q38" s="10"/>
      <c r="R38" s="10"/>
      <c r="S38" s="10"/>
      <c r="T38" s="9">
        <v>8</v>
      </c>
    </row>
    <row r="39" spans="1:20" ht="59.25" customHeight="1">
      <c r="A39" s="9">
        <v>25</v>
      </c>
      <c r="B39" s="24" t="s">
        <v>20</v>
      </c>
      <c r="C39" s="9" t="s">
        <v>46</v>
      </c>
      <c r="D39" s="14" t="s">
        <v>34</v>
      </c>
      <c r="E39" s="31" t="s">
        <v>23</v>
      </c>
      <c r="F39" s="14" t="s">
        <v>177</v>
      </c>
      <c r="G39" s="9"/>
      <c r="H39" s="9"/>
      <c r="I39" s="9">
        <v>15</v>
      </c>
      <c r="J39" s="9">
        <v>15</v>
      </c>
      <c r="K39" s="9">
        <v>3</v>
      </c>
      <c r="L39" s="9" t="s">
        <v>25</v>
      </c>
      <c r="M39" s="24" t="s">
        <v>161</v>
      </c>
      <c r="N39" s="10" t="s">
        <v>178</v>
      </c>
      <c r="O39" s="9" t="s">
        <v>179</v>
      </c>
      <c r="P39" s="10" t="s">
        <v>180</v>
      </c>
      <c r="Q39" s="10"/>
      <c r="R39" s="10"/>
      <c r="S39" s="10"/>
      <c r="T39" s="9">
        <v>8</v>
      </c>
    </row>
    <row r="40" spans="1:20" ht="45.75" hidden="1" customHeight="1">
      <c r="A40" s="9">
        <v>22</v>
      </c>
      <c r="B40" s="24" t="s">
        <v>20</v>
      </c>
      <c r="C40" s="9" t="s">
        <v>46</v>
      </c>
      <c r="D40" s="14" t="s">
        <v>34</v>
      </c>
      <c r="E40" s="31" t="s">
        <v>58</v>
      </c>
      <c r="F40" s="10" t="s">
        <v>181</v>
      </c>
      <c r="G40" s="9">
        <v>70</v>
      </c>
      <c r="H40" s="9">
        <v>60</v>
      </c>
      <c r="I40" s="9">
        <v>10</v>
      </c>
      <c r="J40" s="9">
        <v>10</v>
      </c>
      <c r="K40" s="9">
        <v>3</v>
      </c>
      <c r="L40" s="9" t="s">
        <v>36</v>
      </c>
      <c r="M40" s="24" t="s">
        <v>42</v>
      </c>
      <c r="N40" s="10" t="s">
        <v>80</v>
      </c>
      <c r="O40" s="9" t="s">
        <v>182</v>
      </c>
      <c r="P40" s="10" t="s">
        <v>183</v>
      </c>
      <c r="Q40" s="10"/>
      <c r="R40" s="10"/>
      <c r="S40" s="10"/>
      <c r="T40" s="9">
        <v>8</v>
      </c>
    </row>
    <row r="41" spans="1:20" ht="54" hidden="1" customHeight="1">
      <c r="A41" s="9"/>
      <c r="B41" s="24" t="s">
        <v>20</v>
      </c>
      <c r="C41" s="9" t="s">
        <v>30</v>
      </c>
      <c r="D41" s="14" t="s">
        <v>34</v>
      </c>
      <c r="E41" s="31" t="s">
        <v>101</v>
      </c>
      <c r="F41" s="10" t="s">
        <v>184</v>
      </c>
      <c r="G41" s="9">
        <v>35</v>
      </c>
      <c r="H41" s="9">
        <v>35</v>
      </c>
      <c r="I41" s="9">
        <v>12</v>
      </c>
      <c r="J41" s="9">
        <v>12</v>
      </c>
      <c r="K41" s="9">
        <v>3</v>
      </c>
      <c r="L41" s="9" t="s">
        <v>25</v>
      </c>
      <c r="M41" s="24" t="s">
        <v>20</v>
      </c>
      <c r="N41" s="10" t="s">
        <v>185</v>
      </c>
      <c r="O41" s="13" t="s">
        <v>186</v>
      </c>
      <c r="P41" s="10"/>
      <c r="Q41" s="10"/>
      <c r="R41" s="10"/>
      <c r="S41" s="10"/>
      <c r="T41" s="9">
        <v>8</v>
      </c>
    </row>
    <row r="42" spans="1:20" ht="42.75" hidden="1" customHeight="1">
      <c r="A42" s="9"/>
      <c r="B42" s="24" t="s">
        <v>20</v>
      </c>
      <c r="C42" s="9" t="s">
        <v>21</v>
      </c>
      <c r="D42" s="14" t="s">
        <v>22</v>
      </c>
      <c r="E42" s="31" t="s">
        <v>156</v>
      </c>
      <c r="F42" s="10" t="s">
        <v>187</v>
      </c>
      <c r="G42" s="9">
        <v>1519</v>
      </c>
      <c r="H42" s="9">
        <v>1519</v>
      </c>
      <c r="I42" s="9">
        <v>45</v>
      </c>
      <c r="J42" s="9">
        <v>45</v>
      </c>
      <c r="K42" s="9">
        <v>1</v>
      </c>
      <c r="L42" s="9" t="s">
        <v>25</v>
      </c>
      <c r="M42" s="24" t="s">
        <v>135</v>
      </c>
      <c r="N42" s="10" t="s">
        <v>188</v>
      </c>
      <c r="O42" s="13" t="s">
        <v>189</v>
      </c>
      <c r="P42" s="10"/>
      <c r="Q42" s="10"/>
      <c r="R42" s="10"/>
      <c r="S42" s="10"/>
      <c r="T42" s="9">
        <v>6</v>
      </c>
    </row>
    <row r="43" spans="1:20" ht="47.25" hidden="1" customHeight="1">
      <c r="A43" s="9">
        <v>9</v>
      </c>
      <c r="B43" s="24" t="s">
        <v>20</v>
      </c>
      <c r="C43" s="9" t="s">
        <v>56</v>
      </c>
      <c r="D43" s="14" t="s">
        <v>22</v>
      </c>
      <c r="E43" s="31">
        <v>2</v>
      </c>
      <c r="F43" s="10" t="s">
        <v>190</v>
      </c>
      <c r="G43" s="9">
        <v>60</v>
      </c>
      <c r="H43" s="9">
        <v>60</v>
      </c>
      <c r="I43" s="9">
        <v>12</v>
      </c>
      <c r="J43" s="9">
        <v>12</v>
      </c>
      <c r="K43" s="9">
        <v>3</v>
      </c>
      <c r="L43" s="9" t="s">
        <v>36</v>
      </c>
      <c r="M43" s="24" t="s">
        <v>68</v>
      </c>
      <c r="N43" s="10" t="s">
        <v>191</v>
      </c>
      <c r="O43" s="9" t="s">
        <v>192</v>
      </c>
      <c r="P43" s="10" t="s">
        <v>193</v>
      </c>
      <c r="Q43" s="10"/>
      <c r="R43" s="10"/>
      <c r="S43" s="10"/>
      <c r="T43" s="9">
        <v>8</v>
      </c>
    </row>
    <row r="44" spans="1:20" hidden="1">
      <c r="A44" s="9"/>
      <c r="B44" s="24" t="s">
        <v>20</v>
      </c>
      <c r="C44" s="9" t="s">
        <v>21</v>
      </c>
      <c r="D44" s="14" t="s">
        <v>22</v>
      </c>
      <c r="E44" s="31">
        <v>9</v>
      </c>
      <c r="F44" s="10" t="s">
        <v>194</v>
      </c>
      <c r="G44" s="9"/>
      <c r="H44" s="9"/>
      <c r="I44" s="9">
        <v>50</v>
      </c>
      <c r="J44" s="9">
        <v>50</v>
      </c>
      <c r="K44" s="9">
        <v>30</v>
      </c>
      <c r="L44" s="13" t="s">
        <v>25</v>
      </c>
      <c r="M44" s="24" t="s">
        <v>20</v>
      </c>
      <c r="N44" s="10"/>
      <c r="O44" s="9" t="s">
        <v>195</v>
      </c>
      <c r="P44" s="10"/>
      <c r="Q44" s="10"/>
      <c r="R44" s="10"/>
      <c r="S44" s="10"/>
      <c r="T44" s="9"/>
    </row>
    <row r="45" spans="1:20" ht="30.75" hidden="1">
      <c r="A45" s="9">
        <v>18</v>
      </c>
      <c r="B45" s="24" t="s">
        <v>20</v>
      </c>
      <c r="C45" s="9" t="s">
        <v>30</v>
      </c>
      <c r="D45" s="14" t="s">
        <v>34</v>
      </c>
      <c r="E45" s="31">
        <v>1</v>
      </c>
      <c r="F45" s="10" t="s">
        <v>196</v>
      </c>
      <c r="G45" s="9">
        <v>85</v>
      </c>
      <c r="H45" s="9">
        <v>85</v>
      </c>
      <c r="I45" s="9">
        <v>12</v>
      </c>
      <c r="J45" s="9">
        <v>12</v>
      </c>
      <c r="K45" s="9">
        <v>3</v>
      </c>
      <c r="L45" s="9" t="s">
        <v>25</v>
      </c>
      <c r="M45" s="24" t="s">
        <v>197</v>
      </c>
      <c r="N45" s="10" t="s">
        <v>198</v>
      </c>
      <c r="O45" s="9" t="s">
        <v>199</v>
      </c>
      <c r="P45" s="10" t="s">
        <v>200</v>
      </c>
      <c r="Q45" s="10"/>
      <c r="R45" s="10"/>
      <c r="S45" s="10"/>
      <c r="T45" s="9">
        <v>8</v>
      </c>
    </row>
    <row r="46" spans="1:20" ht="62.25" hidden="1">
      <c r="A46" s="9"/>
      <c r="B46" s="24" t="s">
        <v>20</v>
      </c>
      <c r="C46" s="9" t="s">
        <v>30</v>
      </c>
      <c r="D46" s="14" t="s">
        <v>22</v>
      </c>
      <c r="E46" s="31">
        <v>1</v>
      </c>
      <c r="F46" s="10" t="s">
        <v>201</v>
      </c>
      <c r="G46" s="9">
        <v>60</v>
      </c>
      <c r="H46" s="9">
        <v>60</v>
      </c>
      <c r="I46" s="9">
        <v>12</v>
      </c>
      <c r="J46" s="9">
        <v>12</v>
      </c>
      <c r="K46" s="9">
        <v>3</v>
      </c>
      <c r="L46" s="9" t="s">
        <v>36</v>
      </c>
      <c r="M46" s="24" t="s">
        <v>76</v>
      </c>
      <c r="N46" s="10" t="s">
        <v>202</v>
      </c>
      <c r="O46" s="13" t="s">
        <v>203</v>
      </c>
      <c r="P46" s="10"/>
      <c r="Q46" s="10"/>
      <c r="R46" s="10"/>
      <c r="S46" s="10"/>
      <c r="T46" s="9">
        <v>8</v>
      </c>
    </row>
    <row r="47" spans="1:20" hidden="1">
      <c r="A47" s="9"/>
      <c r="B47" s="24" t="s">
        <v>20</v>
      </c>
      <c r="C47" s="9" t="s">
        <v>56</v>
      </c>
      <c r="D47" s="14" t="s">
        <v>22</v>
      </c>
      <c r="E47" s="31" t="s">
        <v>31</v>
      </c>
      <c r="F47" s="10" t="s">
        <v>204</v>
      </c>
      <c r="G47" s="9" t="s">
        <v>93</v>
      </c>
      <c r="H47" s="9" t="s">
        <v>93</v>
      </c>
      <c r="I47" s="9">
        <v>15</v>
      </c>
      <c r="J47" s="9">
        <v>15</v>
      </c>
      <c r="K47" s="9"/>
      <c r="L47" s="9" t="s">
        <v>25</v>
      </c>
      <c r="M47" s="24" t="s">
        <v>20</v>
      </c>
      <c r="N47" s="10"/>
      <c r="O47" s="13" t="s">
        <v>205</v>
      </c>
      <c r="P47" s="10"/>
      <c r="Q47" s="10"/>
      <c r="R47" s="10"/>
      <c r="S47" s="10"/>
      <c r="T47" s="9"/>
    </row>
    <row r="48" spans="1:20" hidden="1">
      <c r="A48" s="9"/>
      <c r="B48" s="24" t="s">
        <v>20</v>
      </c>
      <c r="C48" s="9" t="s">
        <v>56</v>
      </c>
      <c r="D48" s="14" t="s">
        <v>34</v>
      </c>
      <c r="E48" s="31">
        <v>1</v>
      </c>
      <c r="F48" s="10" t="s">
        <v>206</v>
      </c>
      <c r="G48" s="9">
        <v>75</v>
      </c>
      <c r="H48" s="9">
        <v>75</v>
      </c>
      <c r="I48" s="9">
        <v>10</v>
      </c>
      <c r="J48" s="9">
        <v>10</v>
      </c>
      <c r="K48" s="9">
        <v>3</v>
      </c>
      <c r="L48" s="9" t="s">
        <v>25</v>
      </c>
      <c r="M48" s="24" t="s">
        <v>116</v>
      </c>
      <c r="N48" s="10"/>
      <c r="O48" s="13" t="s">
        <v>207</v>
      </c>
      <c r="P48" s="10"/>
      <c r="Q48" s="10"/>
      <c r="R48" s="10"/>
      <c r="S48" s="10"/>
      <c r="T48" s="9"/>
    </row>
    <row r="49" spans="1:20" hidden="1">
      <c r="A49" s="9"/>
      <c r="B49" s="24" t="s">
        <v>20</v>
      </c>
      <c r="C49" s="9" t="s">
        <v>30</v>
      </c>
      <c r="D49" s="14" t="s">
        <v>22</v>
      </c>
      <c r="E49" s="31" t="s">
        <v>47</v>
      </c>
      <c r="F49" s="10" t="s">
        <v>208</v>
      </c>
      <c r="G49" s="9"/>
      <c r="H49" s="9"/>
      <c r="I49" s="9">
        <v>8</v>
      </c>
      <c r="J49" s="9">
        <v>6</v>
      </c>
      <c r="K49" s="9">
        <v>3</v>
      </c>
      <c r="L49" s="9" t="s">
        <v>36</v>
      </c>
      <c r="M49" s="24" t="s">
        <v>37</v>
      </c>
      <c r="N49" s="10"/>
      <c r="O49" s="13" t="s">
        <v>209</v>
      </c>
      <c r="P49" s="10"/>
      <c r="Q49" s="10"/>
      <c r="R49" s="10"/>
      <c r="S49" s="10"/>
      <c r="T49" s="9"/>
    </row>
    <row r="50" spans="1:20" hidden="1">
      <c r="A50" s="9"/>
      <c r="B50" s="24" t="s">
        <v>20</v>
      </c>
      <c r="C50" s="9" t="s">
        <v>30</v>
      </c>
      <c r="D50" s="14" t="s">
        <v>22</v>
      </c>
      <c r="E50" s="31">
        <v>9</v>
      </c>
      <c r="F50" s="10" t="s">
        <v>210</v>
      </c>
      <c r="G50" s="9">
        <v>45</v>
      </c>
      <c r="H50" s="9">
        <v>45</v>
      </c>
      <c r="I50" s="9">
        <v>12</v>
      </c>
      <c r="J50" s="9">
        <v>12</v>
      </c>
      <c r="K50" s="9">
        <v>3</v>
      </c>
      <c r="L50" s="9" t="s">
        <v>25</v>
      </c>
      <c r="M50" s="24" t="s">
        <v>20</v>
      </c>
      <c r="N50" s="10"/>
      <c r="O50" s="13" t="s">
        <v>211</v>
      </c>
      <c r="P50" s="10"/>
      <c r="Q50" s="10"/>
      <c r="R50" s="10"/>
      <c r="S50" s="10"/>
      <c r="T50" s="9"/>
    </row>
    <row r="51" spans="1:20" hidden="1">
      <c r="A51" s="9"/>
      <c r="B51" s="34"/>
      <c r="C51" s="9" t="s">
        <v>30</v>
      </c>
      <c r="D51" s="14" t="s">
        <v>34</v>
      </c>
      <c r="E51" s="31" t="s">
        <v>47</v>
      </c>
      <c r="F51" s="10" t="s">
        <v>212</v>
      </c>
      <c r="G51" s="9">
        <v>20</v>
      </c>
      <c r="H51" s="9">
        <v>20</v>
      </c>
      <c r="I51" s="9">
        <v>8</v>
      </c>
      <c r="J51" s="9">
        <v>8</v>
      </c>
      <c r="K51" s="9">
        <v>3</v>
      </c>
      <c r="L51" s="9" t="s">
        <v>36</v>
      </c>
      <c r="M51" s="35" t="s">
        <v>68</v>
      </c>
      <c r="N51" s="10" t="s">
        <v>213</v>
      </c>
      <c r="O51" s="13" t="s">
        <v>214</v>
      </c>
      <c r="P51" s="10"/>
      <c r="Q51" s="10"/>
      <c r="R51" s="10"/>
      <c r="S51" s="10"/>
      <c r="T51" s="9"/>
    </row>
    <row r="52" spans="1:20" hidden="1">
      <c r="A52" s="9"/>
      <c r="B52" s="34"/>
      <c r="C52" s="9" t="s">
        <v>30</v>
      </c>
      <c r="D52" s="14" t="s">
        <v>34</v>
      </c>
      <c r="E52" s="31" t="s">
        <v>101</v>
      </c>
      <c r="F52" s="10" t="s">
        <v>215</v>
      </c>
      <c r="G52" s="9">
        <v>60</v>
      </c>
      <c r="H52" s="9">
        <v>60</v>
      </c>
      <c r="I52" s="9">
        <v>6</v>
      </c>
      <c r="J52" s="9">
        <v>6</v>
      </c>
      <c r="K52" s="9">
        <v>3</v>
      </c>
      <c r="L52" s="9" t="s">
        <v>36</v>
      </c>
      <c r="M52" s="35" t="s">
        <v>37</v>
      </c>
      <c r="N52" s="10"/>
      <c r="O52" s="13" t="s">
        <v>216</v>
      </c>
      <c r="P52" s="10"/>
      <c r="Q52" s="10"/>
      <c r="R52" s="10"/>
      <c r="S52" s="10"/>
      <c r="T52" s="9"/>
    </row>
    <row r="53" spans="1:20" hidden="1">
      <c r="A53" s="9"/>
      <c r="B53" s="34" t="s">
        <v>217</v>
      </c>
      <c r="C53" s="9" t="s">
        <v>56</v>
      </c>
      <c r="D53" s="14" t="s">
        <v>22</v>
      </c>
      <c r="E53" s="31"/>
      <c r="F53" s="10" t="s">
        <v>218</v>
      </c>
      <c r="G53" s="9"/>
      <c r="H53" s="9"/>
      <c r="I53" s="9"/>
      <c r="J53" s="9"/>
      <c r="K53" s="9"/>
      <c r="L53" s="9" t="s">
        <v>25</v>
      </c>
      <c r="M53" s="35"/>
      <c r="N53" s="10"/>
      <c r="O53" s="13"/>
      <c r="P53" s="10" t="s">
        <v>219</v>
      </c>
      <c r="Q53" s="10" t="s">
        <v>220</v>
      </c>
      <c r="R53" s="10"/>
      <c r="S53" s="10"/>
      <c r="T53" s="9"/>
    </row>
    <row r="54" spans="1:20">
      <c r="A54" s="9"/>
      <c r="B54" s="34"/>
      <c r="C54" s="9" t="s">
        <v>30</v>
      </c>
      <c r="D54" s="14" t="s">
        <v>57</v>
      </c>
      <c r="E54" s="31" t="s">
        <v>23</v>
      </c>
      <c r="F54" s="10" t="s">
        <v>221</v>
      </c>
      <c r="G54" s="9"/>
      <c r="H54" s="9"/>
      <c r="I54" s="9"/>
      <c r="J54" s="9"/>
      <c r="K54" s="9">
        <v>4</v>
      </c>
      <c r="L54" s="9" t="s">
        <v>25</v>
      </c>
      <c r="M54" s="35"/>
      <c r="N54" s="10"/>
      <c r="O54" s="13"/>
      <c r="P54" s="10"/>
      <c r="Q54" s="10"/>
      <c r="R54" s="10"/>
      <c r="S54" s="10"/>
      <c r="T54" s="9">
        <v>6</v>
      </c>
    </row>
    <row r="55" spans="1:20">
      <c r="A55" s="9"/>
      <c r="B55" s="34"/>
      <c r="C55" s="9" t="s">
        <v>30</v>
      </c>
      <c r="D55" s="14" t="s">
        <v>57</v>
      </c>
      <c r="E55" s="31" t="s">
        <v>23</v>
      </c>
      <c r="F55" s="10" t="s">
        <v>222</v>
      </c>
      <c r="G55" s="9"/>
      <c r="H55" s="9"/>
      <c r="I55" s="9"/>
      <c r="J55" s="9"/>
      <c r="K55" s="9">
        <v>4</v>
      </c>
      <c r="L55" s="9" t="s">
        <v>25</v>
      </c>
      <c r="M55" s="43"/>
      <c r="N55" s="10"/>
      <c r="O55" s="13"/>
      <c r="P55" s="10"/>
      <c r="Q55" s="10"/>
      <c r="R55" s="10"/>
      <c r="S55" s="10"/>
      <c r="T55" s="9">
        <v>7</v>
      </c>
    </row>
    <row r="56" spans="1:20">
      <c r="A56" s="9"/>
      <c r="B56" s="34"/>
      <c r="C56" s="9" t="s">
        <v>21</v>
      </c>
      <c r="D56" s="14" t="s">
        <v>57</v>
      </c>
      <c r="E56" s="31" t="s">
        <v>23</v>
      </c>
      <c r="F56" s="10" t="s">
        <v>223</v>
      </c>
      <c r="G56" s="9"/>
      <c r="H56" s="9"/>
      <c r="I56" s="9"/>
      <c r="J56" s="9"/>
      <c r="K56" s="9">
        <v>4</v>
      </c>
      <c r="L56" s="9" t="s">
        <v>25</v>
      </c>
      <c r="M56" s="43"/>
      <c r="N56" s="10"/>
      <c r="O56" s="13"/>
      <c r="P56" s="10"/>
      <c r="Q56" s="10"/>
      <c r="R56" s="10"/>
      <c r="S56" s="10"/>
      <c r="T56" s="9">
        <v>6</v>
      </c>
    </row>
    <row r="57" spans="1:20" hidden="1">
      <c r="A57" s="9"/>
      <c r="B57" s="34"/>
      <c r="C57" s="9" t="s">
        <v>56</v>
      </c>
      <c r="D57" s="14" t="s">
        <v>34</v>
      </c>
      <c r="E57" s="31" t="s">
        <v>47</v>
      </c>
      <c r="F57" s="10" t="s">
        <v>224</v>
      </c>
      <c r="G57" s="9"/>
      <c r="H57" s="9"/>
      <c r="I57" s="9"/>
      <c r="J57" s="9"/>
      <c r="K57" s="9">
        <v>3</v>
      </c>
      <c r="L57" s="9" t="s">
        <v>25</v>
      </c>
      <c r="M57" s="43"/>
      <c r="N57" s="10"/>
      <c r="O57" s="13"/>
      <c r="P57" s="10"/>
      <c r="Q57" s="10"/>
      <c r="R57" s="10"/>
      <c r="S57" s="10"/>
      <c r="T57" s="9">
        <v>7</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654C-A726-4351-BFEF-A3ECCDDB1E85}">
  <dimension ref="A1:O422"/>
  <sheetViews>
    <sheetView topLeftCell="A381" workbookViewId="0">
      <selection activeCell="C169" sqref="C169"/>
    </sheetView>
  </sheetViews>
  <sheetFormatPr defaultRowHeight="15"/>
  <cols>
    <col min="1" max="1" width="33.140625" style="4" customWidth="1"/>
    <col min="2" max="2" width="12.140625" style="22" customWidth="1"/>
    <col min="3" max="3" width="47.7109375" style="22" customWidth="1"/>
    <col min="4" max="4" width="16.28515625" style="22" customWidth="1"/>
    <col min="5" max="5" width="15.85546875" style="22" customWidth="1"/>
    <col min="6" max="6" width="13.5703125" style="22" customWidth="1"/>
    <col min="7" max="7" width="11" style="22" bestFit="1" customWidth="1"/>
    <col min="8" max="8" width="25.28515625" style="22" customWidth="1"/>
    <col min="9" max="9" width="25.28515625" style="25" customWidth="1"/>
    <col min="10" max="10" width="25.28515625" style="4" customWidth="1"/>
    <col min="11" max="11" width="25.28515625" style="22" customWidth="1"/>
    <col min="12" max="12" width="40.42578125" style="22" customWidth="1"/>
  </cols>
  <sheetData>
    <row r="1" spans="1:15">
      <c r="A1" s="18" t="s">
        <v>1</v>
      </c>
      <c r="B1" s="5" t="s">
        <v>2</v>
      </c>
      <c r="C1" s="5" t="s">
        <v>5</v>
      </c>
      <c r="D1" s="5" t="s">
        <v>4</v>
      </c>
      <c r="E1" s="6" t="s">
        <v>6</v>
      </c>
      <c r="F1" s="6" t="s">
        <v>7</v>
      </c>
      <c r="G1" s="6" t="s">
        <v>8</v>
      </c>
      <c r="H1" s="6" t="s">
        <v>9</v>
      </c>
      <c r="I1" s="18" t="s">
        <v>225</v>
      </c>
      <c r="J1" s="26" t="s">
        <v>226</v>
      </c>
      <c r="K1" s="6" t="s">
        <v>10</v>
      </c>
      <c r="L1" s="6" t="s">
        <v>14</v>
      </c>
      <c r="M1" s="6" t="s">
        <v>227</v>
      </c>
      <c r="N1" s="6" t="s">
        <v>228</v>
      </c>
      <c r="O1" s="6" t="s">
        <v>229</v>
      </c>
    </row>
    <row r="2" spans="1:15">
      <c r="A2" s="19" t="s">
        <v>230</v>
      </c>
      <c r="B2" s="21" t="s">
        <v>46</v>
      </c>
      <c r="C2" s="21" t="s">
        <v>79</v>
      </c>
      <c r="D2" s="21">
        <v>3</v>
      </c>
      <c r="E2" s="23">
        <v>20</v>
      </c>
      <c r="F2" s="23">
        <v>20</v>
      </c>
      <c r="G2" s="23">
        <v>20</v>
      </c>
      <c r="H2" s="23">
        <v>20</v>
      </c>
      <c r="I2" s="24" t="s">
        <v>231</v>
      </c>
      <c r="J2" s="27"/>
      <c r="K2" s="23"/>
      <c r="L2" s="23" t="s">
        <v>232</v>
      </c>
      <c r="M2" s="40" t="str">
        <f>IF(ISNUMBER(Log[[#This Row],[Day]]),TEXT(Log[[#This Row],[Day]],"0"),Log[[#This Row],[Day]])</f>
        <v>3</v>
      </c>
      <c r="N2" s="40" t="str">
        <f>_xlfn.XLOOKUP(Log[[#This Row],[Exercise]],Exercises[Exercise],Exercises[Category],"Ukendt",0)</f>
        <v>Compound</v>
      </c>
      <c r="O2" s="40" t="str">
        <f>_xlfn.XLOOKUP(Log[[#This Row],[Exercise]],Table5[Exercise],Table5[Primary],"Ukendt",0)</f>
        <v>Lår</v>
      </c>
    </row>
    <row r="3" spans="1:15">
      <c r="A3" s="19" t="s">
        <v>230</v>
      </c>
      <c r="B3" s="21" t="s">
        <v>21</v>
      </c>
      <c r="C3" s="21" t="s">
        <v>88</v>
      </c>
      <c r="D3" s="21">
        <v>2</v>
      </c>
      <c r="E3" s="23">
        <v>35</v>
      </c>
      <c r="F3" s="23">
        <v>35</v>
      </c>
      <c r="G3" s="23">
        <v>3</v>
      </c>
      <c r="H3" s="23">
        <v>3</v>
      </c>
      <c r="I3" s="24" t="s">
        <v>231</v>
      </c>
      <c r="J3" s="27"/>
      <c r="K3" s="23"/>
      <c r="L3" s="23" t="s">
        <v>233</v>
      </c>
      <c r="M3" s="40" t="str">
        <f>IF(ISNUMBER(Log[[#This Row],[Day]]),TEXT(Log[[#This Row],[Day]],"0"),Log[[#This Row],[Day]])</f>
        <v>2</v>
      </c>
      <c r="N3" s="40" t="str">
        <f>_xlfn.XLOOKUP(Log[[#This Row],[Exercise]],Exercises[Exercise],Exercises[Category],"Ukendt",0)</f>
        <v>Stabilization</v>
      </c>
      <c r="O3" s="40" t="str">
        <f>_xlfn.XLOOKUP(Log[[#This Row],[Exercise]],Table5[Exercise],Table5[Primary],"Ukendt",0)</f>
        <v>Core</v>
      </c>
    </row>
    <row r="4" spans="1:15">
      <c r="A4" s="19" t="s">
        <v>230</v>
      </c>
      <c r="B4" s="21" t="s">
        <v>56</v>
      </c>
      <c r="C4" s="21" t="s">
        <v>92</v>
      </c>
      <c r="D4" s="21">
        <v>2</v>
      </c>
      <c r="E4" s="23">
        <v>15</v>
      </c>
      <c r="F4" s="23" t="s">
        <v>93</v>
      </c>
      <c r="G4" s="23">
        <v>10</v>
      </c>
      <c r="H4" s="23">
        <v>10</v>
      </c>
      <c r="I4" s="24" t="s">
        <v>231</v>
      </c>
      <c r="J4" s="27"/>
      <c r="K4" s="23"/>
      <c r="L4" s="23" t="s">
        <v>234</v>
      </c>
      <c r="M4" s="40" t="str">
        <f>IF(ISNUMBER(Log[[#This Row],[Day]]),TEXT(Log[[#This Row],[Day]],"0"),Log[[#This Row],[Day]])</f>
        <v>2</v>
      </c>
      <c r="N4" s="40" t="str">
        <f>_xlfn.XLOOKUP(Log[[#This Row],[Exercise]],Exercises[Exercise],Exercises[Category],"Ukendt",0)</f>
        <v>Isolation</v>
      </c>
      <c r="O4" s="40" t="str">
        <f>_xlfn.XLOOKUP(Log[[#This Row],[Exercise]],Table5[Exercise],Table5[Primary],"Ukendt",0)</f>
        <v>Biceps</v>
      </c>
    </row>
    <row r="5" spans="1:15">
      <c r="A5" s="19" t="s">
        <v>230</v>
      </c>
      <c r="B5" s="21" t="s">
        <v>21</v>
      </c>
      <c r="C5" s="21" t="s">
        <v>119</v>
      </c>
      <c r="D5" s="21">
        <v>2</v>
      </c>
      <c r="E5" s="23"/>
      <c r="F5" s="23">
        <v>15</v>
      </c>
      <c r="G5" s="23"/>
      <c r="H5" s="23">
        <v>12</v>
      </c>
      <c r="I5" s="24" t="s">
        <v>231</v>
      </c>
      <c r="J5" s="27"/>
      <c r="K5" s="23"/>
      <c r="L5" s="23" t="s">
        <v>235</v>
      </c>
      <c r="M5" s="40" t="str">
        <f>IF(ISNUMBER(Log[[#This Row],[Day]]),TEXT(Log[[#This Row],[Day]],"0"),Log[[#This Row],[Day]])</f>
        <v>2</v>
      </c>
      <c r="N5" s="40" t="str">
        <f>_xlfn.XLOOKUP(Log[[#This Row],[Exercise]],Exercises[Exercise],Exercises[Category],"Ukendt",0)</f>
        <v>Core</v>
      </c>
      <c r="O5" s="40" t="str">
        <f>_xlfn.XLOOKUP(Log[[#This Row],[Exercise]],Table5[Exercise],Table5[Primary],"Ukendt",0)</f>
        <v>Ukendt</v>
      </c>
    </row>
    <row r="6" spans="1:15">
      <c r="A6" s="19" t="s">
        <v>230</v>
      </c>
      <c r="B6" s="21" t="s">
        <v>21</v>
      </c>
      <c r="C6" s="21" t="s">
        <v>125</v>
      </c>
      <c r="D6" s="21">
        <v>2</v>
      </c>
      <c r="E6" s="23"/>
      <c r="F6" s="23">
        <v>15</v>
      </c>
      <c r="G6" s="23"/>
      <c r="H6" s="23">
        <v>12</v>
      </c>
      <c r="I6" s="24" t="s">
        <v>231</v>
      </c>
      <c r="J6" s="27"/>
      <c r="K6" s="23"/>
      <c r="L6" s="23" t="s">
        <v>236</v>
      </c>
      <c r="M6" s="40" t="str">
        <f>IF(ISNUMBER(Log[[#This Row],[Day]]),TEXT(Log[[#This Row],[Day]],"0"),Log[[#This Row],[Day]])</f>
        <v>2</v>
      </c>
      <c r="N6" s="40" t="str">
        <f>_xlfn.XLOOKUP(Log[[#This Row],[Exercise]],Exercises[Exercise],Exercises[Category],"Ukendt",0)</f>
        <v>Core</v>
      </c>
      <c r="O6" s="40" t="str">
        <f>_xlfn.XLOOKUP(Log[[#This Row],[Exercise]],Table5[Exercise],Table5[Primary],"Ukendt",0)</f>
        <v>Ukendt</v>
      </c>
    </row>
    <row r="7" spans="1:15">
      <c r="A7" s="19" t="s">
        <v>230</v>
      </c>
      <c r="B7" s="21" t="s">
        <v>21</v>
      </c>
      <c r="C7" s="21" t="s">
        <v>125</v>
      </c>
      <c r="D7" s="21">
        <v>2</v>
      </c>
      <c r="E7" s="23"/>
      <c r="F7" s="23">
        <v>15</v>
      </c>
      <c r="G7" s="23"/>
      <c r="H7" s="23">
        <v>12</v>
      </c>
      <c r="I7" s="24" t="s">
        <v>231</v>
      </c>
      <c r="J7" s="27"/>
      <c r="K7" s="23"/>
      <c r="L7" s="23" t="s">
        <v>237</v>
      </c>
      <c r="M7" s="40" t="str">
        <f>IF(ISNUMBER(Log[[#This Row],[Day]]),TEXT(Log[[#This Row],[Day]],"0"),Log[[#This Row],[Day]])</f>
        <v>2</v>
      </c>
      <c r="N7" s="40" t="str">
        <f>_xlfn.XLOOKUP(Log[[#This Row],[Exercise]],Exercises[Exercise],Exercises[Category],"Ukendt",0)</f>
        <v>Core</v>
      </c>
      <c r="O7" s="40" t="str">
        <f>_xlfn.XLOOKUP(Log[[#This Row],[Exercise]],Table5[Exercise],Table5[Primary],"Ukendt",0)</f>
        <v>Ukendt</v>
      </c>
    </row>
    <row r="8" spans="1:15">
      <c r="A8" s="19" t="s">
        <v>230</v>
      </c>
      <c r="B8" s="21" t="s">
        <v>56</v>
      </c>
      <c r="C8" s="21" t="s">
        <v>131</v>
      </c>
      <c r="D8" s="21">
        <v>2</v>
      </c>
      <c r="E8" s="23">
        <v>80</v>
      </c>
      <c r="F8" s="23">
        <v>80</v>
      </c>
      <c r="G8" s="23">
        <v>12</v>
      </c>
      <c r="H8" s="23">
        <v>12</v>
      </c>
      <c r="I8" s="24" t="s">
        <v>231</v>
      </c>
      <c r="J8" s="27"/>
      <c r="K8" s="23"/>
      <c r="L8" s="23" t="s">
        <v>238</v>
      </c>
      <c r="M8" s="40" t="str">
        <f>IF(ISNUMBER(Log[[#This Row],[Day]]),TEXT(Log[[#This Row],[Day]],"0"),Log[[#This Row],[Day]])</f>
        <v>2</v>
      </c>
      <c r="N8" s="40" t="str">
        <f>_xlfn.XLOOKUP(Log[[#This Row],[Exercise]],Exercises[Exercise],Exercises[Category],"Ukendt",0)</f>
        <v>Isolation</v>
      </c>
      <c r="O8" s="40" t="str">
        <f>_xlfn.XLOOKUP(Log[[#This Row],[Exercise]],Table5[Exercise],Table5[Primary],"Ukendt",0)</f>
        <v>Ukendt</v>
      </c>
    </row>
    <row r="9" spans="1:15">
      <c r="A9" s="19" t="s">
        <v>230</v>
      </c>
      <c r="B9" s="21" t="s">
        <v>56</v>
      </c>
      <c r="C9" s="21" t="s">
        <v>150</v>
      </c>
      <c r="D9" s="21">
        <v>2</v>
      </c>
      <c r="E9" s="23"/>
      <c r="F9" s="23">
        <v>25</v>
      </c>
      <c r="G9" s="23"/>
      <c r="H9" s="23">
        <v>12</v>
      </c>
      <c r="I9" s="24" t="s">
        <v>231</v>
      </c>
      <c r="J9" s="27"/>
      <c r="K9" s="23"/>
      <c r="L9" s="23" t="s">
        <v>239</v>
      </c>
      <c r="M9" s="40" t="str">
        <f>IF(ISNUMBER(Log[[#This Row],[Day]]),TEXT(Log[[#This Row],[Day]],"0"),Log[[#This Row],[Day]])</f>
        <v>2</v>
      </c>
      <c r="N9" s="40" t="str">
        <f>_xlfn.XLOOKUP(Log[[#This Row],[Exercise]],Exercises[Exercise],Exercises[Category],"Ukendt",0)</f>
        <v>Isolation</v>
      </c>
      <c r="O9" s="40" t="str">
        <f>_xlfn.XLOOKUP(Log[[#This Row],[Exercise]],Table5[Exercise],Table5[Primary],"Ukendt",0)</f>
        <v>Ukendt</v>
      </c>
    </row>
    <row r="10" spans="1:15">
      <c r="A10" s="19" t="s">
        <v>230</v>
      </c>
      <c r="B10" s="21" t="s">
        <v>21</v>
      </c>
      <c r="C10" s="21" t="s">
        <v>157</v>
      </c>
      <c r="D10" s="21">
        <v>9</v>
      </c>
      <c r="E10" s="23"/>
      <c r="F10" s="23"/>
      <c r="G10" s="23">
        <v>3</v>
      </c>
      <c r="H10" s="23">
        <v>6</v>
      </c>
      <c r="I10" s="24" t="s">
        <v>231</v>
      </c>
      <c r="J10" s="27"/>
      <c r="K10" s="23"/>
      <c r="L10" s="23" t="s">
        <v>240</v>
      </c>
      <c r="M10" s="40" t="str">
        <f>IF(ISNUMBER(Log[[#This Row],[Day]]),TEXT(Log[[#This Row],[Day]],"0"),Log[[#This Row],[Day]])</f>
        <v>9</v>
      </c>
      <c r="N10" s="40" t="str">
        <f>_xlfn.XLOOKUP(Log[[#This Row],[Exercise]],Exercises[Exercise],Exercises[Category],"Ukendt",0)</f>
        <v>Compound</v>
      </c>
      <c r="O10" s="40" t="str">
        <f>_xlfn.XLOOKUP(Log[[#This Row],[Exercise]],Table5[Exercise],Table5[Primary],"Ukendt",0)</f>
        <v>Ukendt</v>
      </c>
    </row>
    <row r="11" spans="1:15">
      <c r="A11" s="19" t="s">
        <v>230</v>
      </c>
      <c r="B11" s="21" t="s">
        <v>56</v>
      </c>
      <c r="C11" s="21" t="s">
        <v>160</v>
      </c>
      <c r="D11" s="21">
        <v>2</v>
      </c>
      <c r="E11" s="23"/>
      <c r="F11" s="23">
        <v>70</v>
      </c>
      <c r="G11" s="23"/>
      <c r="H11" s="23">
        <v>12</v>
      </c>
      <c r="I11" s="24" t="s">
        <v>231</v>
      </c>
      <c r="J11" s="27"/>
      <c r="K11" s="23"/>
      <c r="L11" s="23" t="s">
        <v>241</v>
      </c>
      <c r="M11" s="40" t="str">
        <f>IF(ISNUMBER(Log[[#This Row],[Day]]),TEXT(Log[[#This Row],[Day]],"0"),Log[[#This Row],[Day]])</f>
        <v>2</v>
      </c>
      <c r="N11" s="40" t="str">
        <f>_xlfn.XLOOKUP(Log[[#This Row],[Exercise]],Exercises[Exercise],Exercises[Category],"Ukendt",0)</f>
        <v>Compound</v>
      </c>
      <c r="O11" s="40" t="str">
        <f>_xlfn.XLOOKUP(Log[[#This Row],[Exercise]],Table5[Exercise],Table5[Primary],"Ukendt",0)</f>
        <v>Ukendt</v>
      </c>
    </row>
    <row r="12" spans="1:15">
      <c r="A12" s="19" t="s">
        <v>230</v>
      </c>
      <c r="B12" s="21" t="s">
        <v>56</v>
      </c>
      <c r="C12" s="21" t="s">
        <v>174</v>
      </c>
      <c r="D12" s="21">
        <v>2</v>
      </c>
      <c r="E12" s="23"/>
      <c r="F12" s="23">
        <v>25</v>
      </c>
      <c r="G12" s="23"/>
      <c r="H12" s="23">
        <v>12</v>
      </c>
      <c r="I12" s="24" t="s">
        <v>231</v>
      </c>
      <c r="J12" s="27"/>
      <c r="K12" s="23"/>
      <c r="L12" s="23" t="s">
        <v>242</v>
      </c>
      <c r="M12" s="40" t="str">
        <f>IF(ISNUMBER(Log[[#This Row],[Day]]),TEXT(Log[[#This Row],[Day]],"0"),Log[[#This Row],[Day]])</f>
        <v>2</v>
      </c>
      <c r="N12" s="40" t="str">
        <f>_xlfn.XLOOKUP(Log[[#This Row],[Exercise]],Exercises[Exercise],Exercises[Category],"Ukendt",0)</f>
        <v>Compound</v>
      </c>
      <c r="O12" s="40" t="str">
        <f>_xlfn.XLOOKUP(Log[[#This Row],[Exercise]],Table5[Exercise],Table5[Primary],"Ukendt",0)</f>
        <v>Ukendt</v>
      </c>
    </row>
    <row r="13" spans="1:15">
      <c r="A13" s="19" t="s">
        <v>243</v>
      </c>
      <c r="B13" s="21" t="s">
        <v>21</v>
      </c>
      <c r="C13" s="21" t="s">
        <v>52</v>
      </c>
      <c r="D13" s="21">
        <v>1</v>
      </c>
      <c r="E13" s="23">
        <v>80</v>
      </c>
      <c r="F13" s="23">
        <v>80</v>
      </c>
      <c r="G13" s="23">
        <v>12</v>
      </c>
      <c r="H13" s="23">
        <v>12</v>
      </c>
      <c r="I13" s="24" t="s">
        <v>244</v>
      </c>
      <c r="J13" s="27"/>
      <c r="K13" s="23"/>
      <c r="L13" s="23" t="s">
        <v>245</v>
      </c>
      <c r="M13" s="40" t="str">
        <f>IF(ISNUMBER(Log[[#This Row],[Day]]),TEXT(Log[[#This Row],[Day]],"0"),Log[[#This Row],[Day]])</f>
        <v>1</v>
      </c>
      <c r="N13" s="40" t="str">
        <f>_xlfn.XLOOKUP(Log[[#This Row],[Exercise]],Exercises[Exercise],Exercises[Category],"Ukendt",0)</f>
        <v>Core</v>
      </c>
      <c r="O13" s="40" t="str">
        <f>_xlfn.XLOOKUP(Log[[#This Row],[Exercise]],Table5[Exercise],Table5[Primary],"Ukendt",0)</f>
        <v>Mave</v>
      </c>
    </row>
    <row r="14" spans="1:15">
      <c r="A14" s="19" t="s">
        <v>243</v>
      </c>
      <c r="B14" s="21" t="s">
        <v>56</v>
      </c>
      <c r="C14" s="21" t="s">
        <v>59</v>
      </c>
      <c r="D14" s="21">
        <v>1</v>
      </c>
      <c r="E14" s="23">
        <v>40</v>
      </c>
      <c r="F14" s="23">
        <v>40</v>
      </c>
      <c r="G14" s="23">
        <v>12</v>
      </c>
      <c r="H14" s="23">
        <v>12</v>
      </c>
      <c r="I14" s="24" t="s">
        <v>244</v>
      </c>
      <c r="J14" s="27"/>
      <c r="K14" s="23"/>
      <c r="L14" s="23" t="s">
        <v>246</v>
      </c>
      <c r="M14" s="40" t="str">
        <f>IF(ISNUMBER(Log[[#This Row],[Day]]),TEXT(Log[[#This Row],[Day]],"0"),Log[[#This Row],[Day]])</f>
        <v>1</v>
      </c>
      <c r="N14" s="40" t="str">
        <f>_xlfn.XLOOKUP(Log[[#This Row],[Exercise]],Exercises[Exercise],Exercises[Category],"Ukendt",0)</f>
        <v>Stabilization</v>
      </c>
      <c r="O14" s="40" t="str">
        <f>_xlfn.XLOOKUP(Log[[#This Row],[Exercise]],Table5[Exercise],Table5[Primary],"Ukendt",0)</f>
        <v>Rotatormanchet</v>
      </c>
    </row>
    <row r="15" spans="1:15">
      <c r="A15" s="19" t="s">
        <v>243</v>
      </c>
      <c r="B15" s="21" t="s">
        <v>56</v>
      </c>
      <c r="C15" s="21" t="s">
        <v>92</v>
      </c>
      <c r="D15" s="21">
        <v>2</v>
      </c>
      <c r="E15" s="23" t="s">
        <v>93</v>
      </c>
      <c r="F15" s="23" t="s">
        <v>93</v>
      </c>
      <c r="G15" s="23">
        <v>10</v>
      </c>
      <c r="H15" s="23">
        <v>10</v>
      </c>
      <c r="I15" s="24" t="s">
        <v>244</v>
      </c>
      <c r="J15" s="27"/>
      <c r="K15" s="23"/>
      <c r="L15" s="23" t="s">
        <v>247</v>
      </c>
      <c r="M15" s="40" t="str">
        <f>IF(ISNUMBER(Log[[#This Row],[Day]]),TEXT(Log[[#This Row],[Day]],"0"),Log[[#This Row],[Day]])</f>
        <v>2</v>
      </c>
      <c r="N15" s="40" t="str">
        <f>_xlfn.XLOOKUP(Log[[#This Row],[Exercise]],Exercises[Exercise],Exercises[Category],"Ukendt",0)</f>
        <v>Isolation</v>
      </c>
      <c r="O15" s="40" t="str">
        <f>_xlfn.XLOOKUP(Log[[#This Row],[Exercise]],Table5[Exercise],Table5[Primary],"Ukendt",0)</f>
        <v>Biceps</v>
      </c>
    </row>
    <row r="16" spans="1:15">
      <c r="A16" s="19" t="s">
        <v>243</v>
      </c>
      <c r="B16" s="21" t="s">
        <v>30</v>
      </c>
      <c r="C16" s="21" t="s">
        <v>164</v>
      </c>
      <c r="D16" s="21">
        <v>1</v>
      </c>
      <c r="E16" s="23">
        <v>30</v>
      </c>
      <c r="F16" s="23">
        <v>30</v>
      </c>
      <c r="G16" s="23">
        <v>12</v>
      </c>
      <c r="H16" s="23">
        <v>12</v>
      </c>
      <c r="I16" s="24" t="s">
        <v>244</v>
      </c>
      <c r="J16" s="27"/>
      <c r="K16" s="23"/>
      <c r="L16" s="23" t="s">
        <v>248</v>
      </c>
      <c r="M16" s="40" t="str">
        <f>IF(ISNUMBER(Log[[#This Row],[Day]]),TEXT(Log[[#This Row],[Day]],"0"),Log[[#This Row],[Day]])</f>
        <v>1</v>
      </c>
      <c r="N16" s="40" t="str">
        <f>_xlfn.XLOOKUP(Log[[#This Row],[Exercise]],Exercises[Exercise],Exercises[Category],"Ukendt",0)</f>
        <v>Compound</v>
      </c>
      <c r="O16" s="40" t="str">
        <f>_xlfn.XLOOKUP(Log[[#This Row],[Exercise]],Table5[Exercise],Table5[Primary],"Ukendt",0)</f>
        <v>Ukendt</v>
      </c>
    </row>
    <row r="17" spans="1:15">
      <c r="A17" s="19" t="s">
        <v>243</v>
      </c>
      <c r="B17" s="21" t="s">
        <v>21</v>
      </c>
      <c r="C17" s="21" t="s">
        <v>187</v>
      </c>
      <c r="D17" s="21">
        <v>9</v>
      </c>
      <c r="E17" s="23"/>
      <c r="F17" s="23"/>
      <c r="G17" s="23"/>
      <c r="H17" s="23">
        <v>45</v>
      </c>
      <c r="I17" s="24" t="s">
        <v>244</v>
      </c>
      <c r="J17" s="27"/>
      <c r="K17" s="23"/>
      <c r="L17" s="23" t="s">
        <v>249</v>
      </c>
      <c r="M17" s="40" t="str">
        <f>IF(ISNUMBER(Log[[#This Row],[Day]]),TEXT(Log[[#This Row],[Day]],"0"),Log[[#This Row],[Day]])</f>
        <v>9</v>
      </c>
      <c r="N17" s="40" t="str">
        <f>_xlfn.XLOOKUP(Log[[#This Row],[Exercise]],Exercises[Exercise],Exercises[Category],"Ukendt",0)</f>
        <v>Isolation</v>
      </c>
      <c r="O17" s="40" t="str">
        <f>_xlfn.XLOOKUP(Log[[#This Row],[Exercise]],Table5[Exercise],Table5[Primary],"Ukendt",0)</f>
        <v>Ukendt</v>
      </c>
    </row>
    <row r="18" spans="1:15">
      <c r="A18" s="19" t="s">
        <v>250</v>
      </c>
      <c r="B18" s="15" t="s">
        <v>30</v>
      </c>
      <c r="C18" s="15" t="s">
        <v>32</v>
      </c>
      <c r="D18" s="16">
        <v>9</v>
      </c>
      <c r="E18" s="17">
        <v>0</v>
      </c>
      <c r="F18" s="17">
        <v>0</v>
      </c>
      <c r="G18" s="17">
        <v>20</v>
      </c>
      <c r="H18" s="17">
        <v>20</v>
      </c>
      <c r="I18" s="24" t="s">
        <v>251</v>
      </c>
      <c r="J18" s="28"/>
      <c r="K18" s="17"/>
      <c r="L18" s="17" t="s">
        <v>252</v>
      </c>
      <c r="M18" s="41" t="str">
        <f>IF(ISNUMBER(Log[[#This Row],[Day]]),TEXT(Log[[#This Row],[Day]],"0"),Log[[#This Row],[Day]])</f>
        <v>9</v>
      </c>
      <c r="N18" s="41" t="str">
        <f>_xlfn.XLOOKUP(Log[[#This Row],[Exercise]],Exercises[Exercise],Exercises[Category],"Ukendt",0)</f>
        <v>Isolation</v>
      </c>
      <c r="O18" s="41" t="str">
        <f>_xlfn.XLOOKUP(Log[[#This Row],[Exercise]],Table5[Exercise],Table5[Primary],"Ukendt",0)</f>
        <v>Bryst</v>
      </c>
    </row>
    <row r="19" spans="1:15">
      <c r="A19" s="19" t="s">
        <v>253</v>
      </c>
      <c r="B19" s="15" t="s">
        <v>46</v>
      </c>
      <c r="C19" s="15" t="s">
        <v>181</v>
      </c>
      <c r="D19" s="16">
        <v>3</v>
      </c>
      <c r="E19" s="17">
        <v>60</v>
      </c>
      <c r="F19" s="17">
        <v>60</v>
      </c>
      <c r="G19" s="17">
        <v>10</v>
      </c>
      <c r="H19" s="17">
        <v>10</v>
      </c>
      <c r="I19" s="24" t="s">
        <v>254</v>
      </c>
      <c r="J19" s="28"/>
      <c r="K19" s="17"/>
      <c r="L19" s="17" t="s">
        <v>255</v>
      </c>
      <c r="M19" s="41" t="str">
        <f>IF(ISNUMBER(Log[[#This Row],[Day]]),TEXT(Log[[#This Row],[Day]],"0"),Log[[#This Row],[Day]])</f>
        <v>3</v>
      </c>
      <c r="N19" s="41" t="str">
        <f>_xlfn.XLOOKUP(Log[[#This Row],[Exercise]],Exercises[Exercise],Exercises[Category],"Ukendt",0)</f>
        <v>Compound</v>
      </c>
      <c r="O19" s="41" t="str">
        <f>_xlfn.XLOOKUP(Log[[#This Row],[Exercise]],Table5[Exercise],Table5[Primary],"Ukendt",0)</f>
        <v>Ukendt</v>
      </c>
    </row>
    <row r="20" spans="1:15">
      <c r="A20" s="19" t="s">
        <v>256</v>
      </c>
      <c r="B20" s="15" t="s">
        <v>46</v>
      </c>
      <c r="C20" s="15" t="s">
        <v>115</v>
      </c>
      <c r="D20" s="16">
        <v>3</v>
      </c>
      <c r="E20" s="17">
        <v>115</v>
      </c>
      <c r="F20" s="17">
        <v>115</v>
      </c>
      <c r="G20" s="17">
        <v>12</v>
      </c>
      <c r="H20" s="17">
        <v>12</v>
      </c>
      <c r="I20" s="24" t="s">
        <v>254</v>
      </c>
      <c r="J20" s="28"/>
      <c r="K20" s="17"/>
      <c r="L20" s="17" t="s">
        <v>257</v>
      </c>
      <c r="M20" s="41" t="str">
        <f>IF(ISNUMBER(Log[[#This Row],[Day]]),TEXT(Log[[#This Row],[Day]],"0"),Log[[#This Row],[Day]])</f>
        <v>3</v>
      </c>
      <c r="N20" s="41" t="str">
        <f>_xlfn.XLOOKUP(Log[[#This Row],[Exercise]],Exercises[Exercise],Exercises[Category],"Ukendt",0)</f>
        <v>Isolation</v>
      </c>
      <c r="O20" s="41" t="str">
        <f>_xlfn.XLOOKUP(Log[[#This Row],[Exercise]],Table5[Exercise],Table5[Primary],"Ukendt",0)</f>
        <v>Lår</v>
      </c>
    </row>
    <row r="21" spans="1:15">
      <c r="A21" s="19" t="s">
        <v>258</v>
      </c>
      <c r="B21" s="15" t="s">
        <v>21</v>
      </c>
      <c r="C21" s="15" t="s">
        <v>67</v>
      </c>
      <c r="D21" s="16">
        <v>3</v>
      </c>
      <c r="E21" s="17">
        <v>15</v>
      </c>
      <c r="F21" s="17">
        <v>15</v>
      </c>
      <c r="G21" s="17">
        <v>12</v>
      </c>
      <c r="H21" s="17">
        <v>12</v>
      </c>
      <c r="I21" s="24" t="s">
        <v>254</v>
      </c>
      <c r="J21" s="28"/>
      <c r="K21" s="17"/>
      <c r="L21" s="17" t="s">
        <v>259</v>
      </c>
      <c r="M21" s="41" t="str">
        <f>IF(ISNUMBER(Log[[#This Row],[Day]]),TEXT(Log[[#This Row],[Day]],"0"),Log[[#This Row],[Day]])</f>
        <v>3</v>
      </c>
      <c r="N21" s="41" t="str">
        <f>_xlfn.XLOOKUP(Log[[#This Row],[Exercise]],Exercises[Exercise],Exercises[Category],"Ukendt",0)</f>
        <v>Compound</v>
      </c>
      <c r="O21" s="41" t="str">
        <f>_xlfn.XLOOKUP(Log[[#This Row],[Exercise]],Table5[Exercise],Table5[Primary],"Ukendt",0)</f>
        <v>Core</v>
      </c>
    </row>
    <row r="22" spans="1:15">
      <c r="A22" s="19" t="s">
        <v>260</v>
      </c>
      <c r="B22" s="15" t="s">
        <v>56</v>
      </c>
      <c r="C22" s="15" t="s">
        <v>63</v>
      </c>
      <c r="D22" s="16">
        <v>1</v>
      </c>
      <c r="E22" s="17">
        <v>30</v>
      </c>
      <c r="F22" s="17">
        <v>30</v>
      </c>
      <c r="G22" s="17">
        <v>12</v>
      </c>
      <c r="H22" s="17">
        <v>12</v>
      </c>
      <c r="I22" s="24" t="s">
        <v>254</v>
      </c>
      <c r="J22" s="28"/>
      <c r="K22" s="17"/>
      <c r="L22" s="17" t="s">
        <v>261</v>
      </c>
      <c r="M22" s="41" t="str">
        <f>IF(ISNUMBER(Log[[#This Row],[Day]]),TEXT(Log[[#This Row],[Day]],"0"),Log[[#This Row],[Day]])</f>
        <v>1</v>
      </c>
      <c r="N22" s="41" t="str">
        <f>_xlfn.XLOOKUP(Log[[#This Row],[Exercise]],Exercises[Exercise],Exercises[Category],"Ukendt",0)</f>
        <v>Stabilization</v>
      </c>
      <c r="O22" s="41" t="str">
        <f>_xlfn.XLOOKUP(Log[[#This Row],[Exercise]],Table5[Exercise],Table5[Primary],"Ukendt",0)</f>
        <v>Rotatormanchet</v>
      </c>
    </row>
    <row r="23" spans="1:15">
      <c r="A23" s="19" t="s">
        <v>262</v>
      </c>
      <c r="B23" s="15" t="s">
        <v>21</v>
      </c>
      <c r="C23" s="15" t="s">
        <v>157</v>
      </c>
      <c r="D23" s="16">
        <v>9</v>
      </c>
      <c r="E23" s="17"/>
      <c r="F23" s="17"/>
      <c r="G23" s="17">
        <v>6</v>
      </c>
      <c r="H23" s="17">
        <v>3</v>
      </c>
      <c r="I23" s="24" t="s">
        <v>254</v>
      </c>
      <c r="J23" s="28"/>
      <c r="K23" s="17"/>
      <c r="L23" s="17" t="s">
        <v>263</v>
      </c>
      <c r="M23" s="41" t="str">
        <f>IF(ISNUMBER(Log[[#This Row],[Day]]),TEXT(Log[[#This Row],[Day]],"0"),Log[[#This Row],[Day]])</f>
        <v>9</v>
      </c>
      <c r="N23" s="41" t="str">
        <f>_xlfn.XLOOKUP(Log[[#This Row],[Exercise]],Exercises[Exercise],Exercises[Category],"Ukendt",0)</f>
        <v>Compound</v>
      </c>
      <c r="O23" s="41" t="str">
        <f>_xlfn.XLOOKUP(Log[[#This Row],[Exercise]],Table5[Exercise],Table5[Primary],"Ukendt",0)</f>
        <v>Ukendt</v>
      </c>
    </row>
    <row r="24" spans="1:15">
      <c r="A24" s="19" t="s">
        <v>264</v>
      </c>
      <c r="B24" s="15" t="s">
        <v>56</v>
      </c>
      <c r="C24" s="15" t="s">
        <v>153</v>
      </c>
      <c r="D24" s="16">
        <v>1</v>
      </c>
      <c r="E24" s="17">
        <v>60</v>
      </c>
      <c r="F24" s="17">
        <v>60</v>
      </c>
      <c r="G24" s="17">
        <v>12</v>
      </c>
      <c r="H24" s="17">
        <v>12</v>
      </c>
      <c r="I24" s="24" t="s">
        <v>254</v>
      </c>
      <c r="J24" s="28"/>
      <c r="K24" s="17"/>
      <c r="L24" s="17" t="s">
        <v>265</v>
      </c>
      <c r="M24" s="41" t="str">
        <f>IF(ISNUMBER(Log[[#This Row],[Day]]),TEXT(Log[[#This Row],[Day]],"0"),Log[[#This Row],[Day]])</f>
        <v>1</v>
      </c>
      <c r="N24" s="41" t="str">
        <f>_xlfn.XLOOKUP(Log[[#This Row],[Exercise]],Exercises[Exercise],Exercises[Category],"Ukendt",0)</f>
        <v>Stabilization</v>
      </c>
      <c r="O24" s="41" t="str">
        <f>_xlfn.XLOOKUP(Log[[#This Row],[Exercise]],Table5[Exercise],Table5[Primary],"Ukendt",0)</f>
        <v>Ukendt</v>
      </c>
    </row>
    <row r="25" spans="1:15">
      <c r="A25" s="19" t="s">
        <v>266</v>
      </c>
      <c r="B25" s="15" t="s">
        <v>46</v>
      </c>
      <c r="C25" s="15" t="s">
        <v>79</v>
      </c>
      <c r="D25" s="16">
        <v>3</v>
      </c>
      <c r="E25" s="17">
        <v>20</v>
      </c>
      <c r="F25" s="17">
        <v>20</v>
      </c>
      <c r="G25" s="17">
        <v>20</v>
      </c>
      <c r="H25" s="17">
        <v>20</v>
      </c>
      <c r="I25" s="24" t="s">
        <v>254</v>
      </c>
      <c r="J25" s="28"/>
      <c r="K25" s="17"/>
      <c r="L25" s="17" t="s">
        <v>267</v>
      </c>
      <c r="M25" s="41" t="str">
        <f>IF(ISNUMBER(Log[[#This Row],[Day]]),TEXT(Log[[#This Row],[Day]],"0"),Log[[#This Row],[Day]])</f>
        <v>3</v>
      </c>
      <c r="N25" s="41" t="str">
        <f>_xlfn.XLOOKUP(Log[[#This Row],[Exercise]],Exercises[Exercise],Exercises[Category],"Ukendt",0)</f>
        <v>Compound</v>
      </c>
      <c r="O25" s="41" t="str">
        <f>_xlfn.XLOOKUP(Log[[#This Row],[Exercise]],Table5[Exercise],Table5[Primary],"Ukendt",0)</f>
        <v>Lår</v>
      </c>
    </row>
    <row r="26" spans="1:15">
      <c r="A26" s="19" t="s">
        <v>268</v>
      </c>
      <c r="B26" s="15" t="s">
        <v>21</v>
      </c>
      <c r="C26" s="15" t="s">
        <v>97</v>
      </c>
      <c r="D26" s="16">
        <v>9</v>
      </c>
      <c r="E26" s="17">
        <v>0</v>
      </c>
      <c r="F26" s="17">
        <v>0</v>
      </c>
      <c r="G26" s="17">
        <v>15</v>
      </c>
      <c r="H26" s="17">
        <v>15</v>
      </c>
      <c r="I26" s="24" t="s">
        <v>254</v>
      </c>
      <c r="J26" s="28"/>
      <c r="K26" s="17"/>
      <c r="L26" s="17" t="s">
        <v>269</v>
      </c>
      <c r="M26" s="41" t="str">
        <f>IF(ISNUMBER(Log[[#This Row],[Day]]),TEXT(Log[[#This Row],[Day]],"0"),Log[[#This Row],[Day]])</f>
        <v>9</v>
      </c>
      <c r="N26" s="41" t="str">
        <f>_xlfn.XLOOKUP(Log[[#This Row],[Exercise]],Exercises[Exercise],Exercises[Category],"Ukendt",0)</f>
        <v>Core</v>
      </c>
      <c r="O26" s="41" t="str">
        <f>_xlfn.XLOOKUP(Log[[#This Row],[Exercise]],Table5[Exercise],Table5[Primary],"Ukendt",0)</f>
        <v>Mave</v>
      </c>
    </row>
    <row r="27" spans="1:15">
      <c r="A27" s="19" t="s">
        <v>270</v>
      </c>
      <c r="B27" s="15" t="s">
        <v>30</v>
      </c>
      <c r="C27" s="15" t="s">
        <v>184</v>
      </c>
      <c r="D27" s="16">
        <v>9</v>
      </c>
      <c r="E27" s="17">
        <v>30</v>
      </c>
      <c r="F27" s="17">
        <v>30</v>
      </c>
      <c r="G27" s="17">
        <v>12</v>
      </c>
      <c r="H27" s="17">
        <v>12</v>
      </c>
      <c r="I27" s="24" t="s">
        <v>254</v>
      </c>
      <c r="J27" s="28"/>
      <c r="K27" s="17"/>
      <c r="L27" s="17" t="s">
        <v>271</v>
      </c>
      <c r="M27" s="41" t="str">
        <f>IF(ISNUMBER(Log[[#This Row],[Day]]),TEXT(Log[[#This Row],[Day]],"0"),Log[[#This Row],[Day]])</f>
        <v>9</v>
      </c>
      <c r="N27" s="41" t="str">
        <f>_xlfn.XLOOKUP(Log[[#This Row],[Exercise]],Exercises[Exercise],Exercises[Category],"Ukendt",0)</f>
        <v>Compound</v>
      </c>
      <c r="O27" s="41" t="str">
        <f>_xlfn.XLOOKUP(Log[[#This Row],[Exercise]],Table5[Exercise],Table5[Primary],"Ukendt",0)</f>
        <v>Ukendt</v>
      </c>
    </row>
    <row r="28" spans="1:15">
      <c r="A28" s="19" t="s">
        <v>272</v>
      </c>
      <c r="B28" s="15" t="s">
        <v>30</v>
      </c>
      <c r="C28" s="15" t="s">
        <v>75</v>
      </c>
      <c r="D28" s="16">
        <v>9</v>
      </c>
      <c r="E28" s="17">
        <v>35</v>
      </c>
      <c r="F28" s="17">
        <v>35</v>
      </c>
      <c r="G28" s="17">
        <v>12</v>
      </c>
      <c r="H28" s="17">
        <v>12</v>
      </c>
      <c r="I28" s="24" t="s">
        <v>254</v>
      </c>
      <c r="J28" s="28"/>
      <c r="K28" s="17"/>
      <c r="L28" s="17" t="s">
        <v>273</v>
      </c>
      <c r="M28" s="41" t="str">
        <f>IF(ISNUMBER(Log[[#This Row],[Day]]),TEXT(Log[[#This Row],[Day]],"0"),Log[[#This Row],[Day]])</f>
        <v>9</v>
      </c>
      <c r="N28" s="41" t="str">
        <f>_xlfn.XLOOKUP(Log[[#This Row],[Exercise]],Exercises[Exercise],Exercises[Category],"Ukendt",0)</f>
        <v>Compound</v>
      </c>
      <c r="O28" s="41" t="str">
        <f>_xlfn.XLOOKUP(Log[[#This Row],[Exercise]],Table5[Exercise],Table5[Primary],"Ukendt",0)</f>
        <v>Bryst</v>
      </c>
    </row>
    <row r="29" spans="1:15">
      <c r="A29" s="19" t="s">
        <v>274</v>
      </c>
      <c r="B29" s="15" t="s">
        <v>30</v>
      </c>
      <c r="C29" s="15" t="s">
        <v>111</v>
      </c>
      <c r="D29" s="16">
        <v>9</v>
      </c>
      <c r="E29" s="17">
        <v>8</v>
      </c>
      <c r="F29" s="17">
        <v>8</v>
      </c>
      <c r="G29" s="17">
        <v>12</v>
      </c>
      <c r="H29" s="17">
        <v>12</v>
      </c>
      <c r="I29" s="24" t="s">
        <v>275</v>
      </c>
      <c r="J29" s="28"/>
      <c r="K29" s="17"/>
      <c r="L29" s="17" t="s">
        <v>276</v>
      </c>
      <c r="M29" s="41" t="str">
        <f>IF(ISNUMBER(Log[[#This Row],[Day]]),TEXT(Log[[#This Row],[Day]],"0"),Log[[#This Row],[Day]])</f>
        <v>9</v>
      </c>
      <c r="N29" s="41" t="str">
        <f>_xlfn.XLOOKUP(Log[[#This Row],[Exercise]],Exercises[Exercise],Exercises[Category],"Ukendt",0)</f>
        <v>Stabilization</v>
      </c>
      <c r="O29" s="41" t="str">
        <f>_xlfn.XLOOKUP(Log[[#This Row],[Exercise]],Table5[Exercise],Table5[Primary],"Ukendt",0)</f>
        <v>Skulder</v>
      </c>
    </row>
    <row r="30" spans="1:15">
      <c r="A30" s="19" t="s">
        <v>277</v>
      </c>
      <c r="B30" s="15" t="s">
        <v>30</v>
      </c>
      <c r="C30" s="15" t="s">
        <v>32</v>
      </c>
      <c r="D30" s="16">
        <v>9</v>
      </c>
      <c r="E30" s="17">
        <v>0</v>
      </c>
      <c r="F30" s="17">
        <v>0</v>
      </c>
      <c r="G30" s="17">
        <v>20</v>
      </c>
      <c r="H30" s="17">
        <v>20</v>
      </c>
      <c r="I30" s="24" t="s">
        <v>275</v>
      </c>
      <c r="J30" s="28"/>
      <c r="K30" s="17"/>
      <c r="L30" s="17" t="s">
        <v>278</v>
      </c>
      <c r="M30" s="41" t="str">
        <f>IF(ISNUMBER(Log[[#This Row],[Day]]),TEXT(Log[[#This Row],[Day]],"0"),Log[[#This Row],[Day]])</f>
        <v>9</v>
      </c>
      <c r="N30" s="41" t="str">
        <f>_xlfn.XLOOKUP(Log[[#This Row],[Exercise]],Exercises[Exercise],Exercises[Category],"Ukendt",0)</f>
        <v>Isolation</v>
      </c>
      <c r="O30" s="41" t="str">
        <f>_xlfn.XLOOKUP(Log[[#This Row],[Exercise]],Table5[Exercise],Table5[Primary],"Ukendt",0)</f>
        <v>Bryst</v>
      </c>
    </row>
    <row r="31" spans="1:15">
      <c r="A31" s="19" t="s">
        <v>279</v>
      </c>
      <c r="B31" s="15" t="s">
        <v>56</v>
      </c>
      <c r="C31" s="15" t="s">
        <v>92</v>
      </c>
      <c r="D31" s="16">
        <v>2</v>
      </c>
      <c r="E31" s="17" t="s">
        <v>93</v>
      </c>
      <c r="F31" s="17" t="s">
        <v>93</v>
      </c>
      <c r="G31" s="17">
        <v>10</v>
      </c>
      <c r="H31" s="17">
        <v>10</v>
      </c>
      <c r="I31" s="24" t="s">
        <v>275</v>
      </c>
      <c r="J31" s="28"/>
      <c r="K31" s="17"/>
      <c r="L31" s="17" t="s">
        <v>280</v>
      </c>
      <c r="M31" s="41" t="str">
        <f>IF(ISNUMBER(Log[[#This Row],[Day]]),TEXT(Log[[#This Row],[Day]],"0"),Log[[#This Row],[Day]])</f>
        <v>2</v>
      </c>
      <c r="N31" s="41" t="str">
        <f>_xlfn.XLOOKUP(Log[[#This Row],[Exercise]],Exercises[Exercise],Exercises[Category],"Ukendt",0)</f>
        <v>Isolation</v>
      </c>
      <c r="O31" s="41" t="str">
        <f>_xlfn.XLOOKUP(Log[[#This Row],[Exercise]],Table5[Exercise],Table5[Primary],"Ukendt",0)</f>
        <v>Biceps</v>
      </c>
    </row>
    <row r="32" spans="1:15">
      <c r="A32" s="19" t="s">
        <v>279</v>
      </c>
      <c r="B32" s="15" t="s">
        <v>21</v>
      </c>
      <c r="C32" s="15" t="s">
        <v>187</v>
      </c>
      <c r="D32" s="16">
        <v>9</v>
      </c>
      <c r="E32" s="17"/>
      <c r="F32" s="17"/>
      <c r="G32" s="17">
        <v>45</v>
      </c>
      <c r="H32" s="17">
        <v>30</v>
      </c>
      <c r="I32" s="24" t="s">
        <v>275</v>
      </c>
      <c r="J32" s="28"/>
      <c r="K32" s="17"/>
      <c r="L32" s="17" t="s">
        <v>281</v>
      </c>
      <c r="M32" s="41" t="str">
        <f>IF(ISNUMBER(Log[[#This Row],[Day]]),TEXT(Log[[#This Row],[Day]],"0"),Log[[#This Row],[Day]])</f>
        <v>9</v>
      </c>
      <c r="N32" s="41" t="str">
        <f>_xlfn.XLOOKUP(Log[[#This Row],[Exercise]],Exercises[Exercise],Exercises[Category],"Ukendt",0)</f>
        <v>Isolation</v>
      </c>
      <c r="O32" s="41" t="str">
        <f>_xlfn.XLOOKUP(Log[[#This Row],[Exercise]],Table5[Exercise],Table5[Primary],"Ukendt",0)</f>
        <v>Ukendt</v>
      </c>
    </row>
    <row r="33" spans="1:15">
      <c r="A33" s="19" t="s">
        <v>282</v>
      </c>
      <c r="B33" s="15" t="s">
        <v>21</v>
      </c>
      <c r="C33" s="15" t="s">
        <v>157</v>
      </c>
      <c r="D33" s="16">
        <v>3</v>
      </c>
      <c r="E33" s="17"/>
      <c r="F33" s="17"/>
      <c r="G33" s="17">
        <v>3</v>
      </c>
      <c r="H33" s="17">
        <v>3</v>
      </c>
      <c r="I33" s="24" t="s">
        <v>283</v>
      </c>
      <c r="J33" s="28"/>
      <c r="K33" s="17"/>
      <c r="L33" s="17" t="s">
        <v>284</v>
      </c>
      <c r="M33" s="41" t="str">
        <f>IF(ISNUMBER(Log[[#This Row],[Day]]),TEXT(Log[[#This Row],[Day]],"0"),Log[[#This Row],[Day]])</f>
        <v>3</v>
      </c>
      <c r="N33" s="41" t="str">
        <f>_xlfn.XLOOKUP(Log[[#This Row],[Exercise]],Exercises[Exercise],Exercises[Category],"Ukendt",0)</f>
        <v>Compound</v>
      </c>
      <c r="O33" s="41" t="str">
        <f>_xlfn.XLOOKUP(Log[[#This Row],[Exercise]],Table5[Exercise],Table5[Primary],"Ukendt",0)</f>
        <v>Ukendt</v>
      </c>
    </row>
    <row r="34" spans="1:15">
      <c r="A34" s="19" t="s">
        <v>285</v>
      </c>
      <c r="B34" s="15" t="s">
        <v>30</v>
      </c>
      <c r="C34" s="15" t="s">
        <v>41</v>
      </c>
      <c r="D34" s="16">
        <v>1</v>
      </c>
      <c r="E34" s="17">
        <v>50</v>
      </c>
      <c r="F34" s="17">
        <v>60</v>
      </c>
      <c r="G34" s="17">
        <v>12</v>
      </c>
      <c r="H34" s="17">
        <v>10</v>
      </c>
      <c r="I34" s="24" t="s">
        <v>283</v>
      </c>
      <c r="J34" s="28"/>
      <c r="K34" s="17"/>
      <c r="L34" s="17" t="s">
        <v>286</v>
      </c>
      <c r="M34" s="41" t="str">
        <f>IF(ISNUMBER(Log[[#This Row],[Day]]),TEXT(Log[[#This Row],[Day]],"0"),Log[[#This Row],[Day]])</f>
        <v>1</v>
      </c>
      <c r="N34" s="41" t="str">
        <f>_xlfn.XLOOKUP(Log[[#This Row],[Exercise]],Exercises[Exercise],Exercises[Category],"Ukendt",0)</f>
        <v>Compound</v>
      </c>
      <c r="O34" s="41" t="str">
        <f>_xlfn.XLOOKUP(Log[[#This Row],[Exercise]],Table5[Exercise],Table5[Primary],"Ukendt",0)</f>
        <v>Bryst</v>
      </c>
    </row>
    <row r="35" spans="1:15">
      <c r="A35" s="19" t="s">
        <v>287</v>
      </c>
      <c r="B35" s="15" t="s">
        <v>30</v>
      </c>
      <c r="C35" s="15" t="s">
        <v>35</v>
      </c>
      <c r="D35" s="16">
        <v>1</v>
      </c>
      <c r="E35" s="17">
        <v>0</v>
      </c>
      <c r="F35" s="17">
        <v>0</v>
      </c>
      <c r="G35" s="17">
        <v>12</v>
      </c>
      <c r="H35" s="17">
        <v>12</v>
      </c>
      <c r="I35" s="24" t="s">
        <v>283</v>
      </c>
      <c r="J35" s="28"/>
      <c r="K35" s="17"/>
      <c r="L35" s="17" t="s">
        <v>288</v>
      </c>
      <c r="M35" s="41" t="str">
        <f>IF(ISNUMBER(Log[[#This Row],[Day]]),TEXT(Log[[#This Row],[Day]],"0"),Log[[#This Row],[Day]])</f>
        <v>1</v>
      </c>
      <c r="N35" s="41" t="str">
        <f>_xlfn.XLOOKUP(Log[[#This Row],[Exercise]],Exercises[Exercise],Exercises[Category],"Ukendt",0)</f>
        <v>Compound</v>
      </c>
      <c r="O35" s="41" t="str">
        <f>_xlfn.XLOOKUP(Log[[#This Row],[Exercise]],Table5[Exercise],Table5[Primary],"Ukendt",0)</f>
        <v>Triceps</v>
      </c>
    </row>
    <row r="36" spans="1:15">
      <c r="A36" s="19" t="s">
        <v>289</v>
      </c>
      <c r="B36" s="15" t="s">
        <v>30</v>
      </c>
      <c r="C36" s="15" t="s">
        <v>75</v>
      </c>
      <c r="D36" s="16">
        <v>1</v>
      </c>
      <c r="E36" s="17">
        <v>35</v>
      </c>
      <c r="F36" s="17">
        <v>35</v>
      </c>
      <c r="G36" s="17">
        <v>12</v>
      </c>
      <c r="H36" s="17">
        <v>12</v>
      </c>
      <c r="I36" s="24" t="s">
        <v>283</v>
      </c>
      <c r="J36" s="28"/>
      <c r="K36" s="17"/>
      <c r="L36" s="17" t="s">
        <v>290</v>
      </c>
      <c r="M36" s="41" t="str">
        <f>IF(ISNUMBER(Log[[#This Row],[Day]]),TEXT(Log[[#This Row],[Day]],"0"),Log[[#This Row],[Day]])</f>
        <v>1</v>
      </c>
      <c r="N36" s="41" t="str">
        <f>_xlfn.XLOOKUP(Log[[#This Row],[Exercise]],Exercises[Exercise],Exercises[Category],"Ukendt",0)</f>
        <v>Compound</v>
      </c>
      <c r="O36" s="41" t="str">
        <f>_xlfn.XLOOKUP(Log[[#This Row],[Exercise]],Table5[Exercise],Table5[Primary],"Ukendt",0)</f>
        <v>Bryst</v>
      </c>
    </row>
    <row r="37" spans="1:15">
      <c r="A37" s="19" t="s">
        <v>291</v>
      </c>
      <c r="B37" s="15" t="s">
        <v>30</v>
      </c>
      <c r="C37" s="15" t="s">
        <v>102</v>
      </c>
      <c r="D37" s="16">
        <v>1</v>
      </c>
      <c r="E37" s="17">
        <v>30</v>
      </c>
      <c r="F37" s="17">
        <v>30</v>
      </c>
      <c r="G37" s="17">
        <v>12</v>
      </c>
      <c r="H37" s="17">
        <v>12</v>
      </c>
      <c r="I37" s="24" t="s">
        <v>283</v>
      </c>
      <c r="J37" s="28"/>
      <c r="K37" s="17"/>
      <c r="L37" s="17" t="s">
        <v>292</v>
      </c>
      <c r="M37" s="41" t="str">
        <f>IF(ISNUMBER(Log[[#This Row],[Day]]),TEXT(Log[[#This Row],[Day]],"0"),Log[[#This Row],[Day]])</f>
        <v>1</v>
      </c>
      <c r="N37" s="41" t="str">
        <f>_xlfn.XLOOKUP(Log[[#This Row],[Exercise]],Exercises[Exercise],Exercises[Category],"Ukendt",0)</f>
        <v>Compound</v>
      </c>
      <c r="O37" s="41" t="str">
        <f>_xlfn.XLOOKUP(Log[[#This Row],[Exercise]],Table5[Exercise],Table5[Primary],"Ukendt",0)</f>
        <v>Bryst</v>
      </c>
    </row>
    <row r="38" spans="1:15">
      <c r="A38" s="19" t="s">
        <v>293</v>
      </c>
      <c r="B38" s="15" t="s">
        <v>30</v>
      </c>
      <c r="C38" s="15" t="s">
        <v>164</v>
      </c>
      <c r="D38" s="16">
        <v>1</v>
      </c>
      <c r="E38" s="17">
        <v>30</v>
      </c>
      <c r="F38" s="17">
        <v>35</v>
      </c>
      <c r="G38" s="17">
        <v>12</v>
      </c>
      <c r="H38" s="17">
        <v>12</v>
      </c>
      <c r="I38" s="24" t="s">
        <v>283</v>
      </c>
      <c r="J38" s="28"/>
      <c r="K38" s="17"/>
      <c r="L38" s="17" t="s">
        <v>294</v>
      </c>
      <c r="M38" s="41" t="str">
        <f>IF(ISNUMBER(Log[[#This Row],[Day]]),TEXT(Log[[#This Row],[Day]],"0"),Log[[#This Row],[Day]])</f>
        <v>1</v>
      </c>
      <c r="N38" s="41" t="str">
        <f>_xlfn.XLOOKUP(Log[[#This Row],[Exercise]],Exercises[Exercise],Exercises[Category],"Ukendt",0)</f>
        <v>Compound</v>
      </c>
      <c r="O38" s="41" t="str">
        <f>_xlfn.XLOOKUP(Log[[#This Row],[Exercise]],Table5[Exercise],Table5[Primary],"Ukendt",0)</f>
        <v>Ukendt</v>
      </c>
    </row>
    <row r="39" spans="1:15">
      <c r="A39" s="19" t="s">
        <v>295</v>
      </c>
      <c r="B39" s="15" t="s">
        <v>30</v>
      </c>
      <c r="C39" s="15" t="s">
        <v>111</v>
      </c>
      <c r="D39" s="16">
        <v>1</v>
      </c>
      <c r="E39" s="17">
        <v>8</v>
      </c>
      <c r="F39" s="17">
        <v>8</v>
      </c>
      <c r="G39" s="17">
        <v>12</v>
      </c>
      <c r="H39" s="17">
        <v>12</v>
      </c>
      <c r="I39" s="24" t="s">
        <v>283</v>
      </c>
      <c r="J39" s="28"/>
      <c r="K39" s="17"/>
      <c r="L39" s="17" t="s">
        <v>296</v>
      </c>
      <c r="M39" s="41" t="str">
        <f>IF(ISNUMBER(Log[[#This Row],[Day]]),TEXT(Log[[#This Row],[Day]],"0"),Log[[#This Row],[Day]])</f>
        <v>1</v>
      </c>
      <c r="N39" s="41" t="str">
        <f>_xlfn.XLOOKUP(Log[[#This Row],[Exercise]],Exercises[Exercise],Exercises[Category],"Ukendt",0)</f>
        <v>Stabilization</v>
      </c>
      <c r="O39" s="41" t="str">
        <f>_xlfn.XLOOKUP(Log[[#This Row],[Exercise]],Table5[Exercise],Table5[Primary],"Ukendt",0)</f>
        <v>Skulder</v>
      </c>
    </row>
    <row r="40" spans="1:15">
      <c r="A40" s="19" t="s">
        <v>297</v>
      </c>
      <c r="B40" s="15" t="s">
        <v>30</v>
      </c>
      <c r="C40" s="15" t="s">
        <v>196</v>
      </c>
      <c r="D40" s="16">
        <v>1</v>
      </c>
      <c r="E40" s="17">
        <v>50</v>
      </c>
      <c r="F40" s="17">
        <v>55</v>
      </c>
      <c r="G40" s="17">
        <v>12</v>
      </c>
      <c r="H40" s="17">
        <v>12</v>
      </c>
      <c r="I40" s="24" t="s">
        <v>283</v>
      </c>
      <c r="J40" s="28"/>
      <c r="K40" s="17"/>
      <c r="L40" s="17" t="s">
        <v>298</v>
      </c>
      <c r="M40" s="41" t="str">
        <f>IF(ISNUMBER(Log[[#This Row],[Day]]),TEXT(Log[[#This Row],[Day]],"0"),Log[[#This Row],[Day]])</f>
        <v>1</v>
      </c>
      <c r="N40" s="41" t="str">
        <f>_xlfn.XLOOKUP(Log[[#This Row],[Exercise]],Exercises[Exercise],Exercises[Category],"Ukendt",0)</f>
        <v>Compound</v>
      </c>
      <c r="O40" s="41" t="str">
        <f>_xlfn.XLOOKUP(Log[[#This Row],[Exercise]],Table5[Exercise],Table5[Primary],"Ukendt",0)</f>
        <v>Ukendt</v>
      </c>
    </row>
    <row r="41" spans="1:15">
      <c r="A41" s="20" t="s">
        <v>299</v>
      </c>
      <c r="B41" s="15" t="s">
        <v>30</v>
      </c>
      <c r="C41" s="15" t="s">
        <v>184</v>
      </c>
      <c r="D41" s="16">
        <v>1</v>
      </c>
      <c r="E41" s="17">
        <v>30</v>
      </c>
      <c r="F41" s="17">
        <v>35</v>
      </c>
      <c r="G41" s="17">
        <v>12</v>
      </c>
      <c r="H41" s="17">
        <v>12</v>
      </c>
      <c r="I41" s="24" t="s">
        <v>283</v>
      </c>
      <c r="J41" s="28"/>
      <c r="K41" s="17"/>
      <c r="L41" s="17" t="s">
        <v>300</v>
      </c>
      <c r="M41" s="41" t="str">
        <f>IF(ISNUMBER(Log[[#This Row],[Day]]),TEXT(Log[[#This Row],[Day]],"0"),Log[[#This Row],[Day]])</f>
        <v>1</v>
      </c>
      <c r="N41" s="41" t="str">
        <f>_xlfn.XLOOKUP(Log[[#This Row],[Exercise]],Exercises[Exercise],Exercises[Category],"Ukendt",0)</f>
        <v>Compound</v>
      </c>
      <c r="O41" s="41" t="str">
        <f>_xlfn.XLOOKUP(Log[[#This Row],[Exercise]],Table5[Exercise],Table5[Primary],"Ukendt",0)</f>
        <v>Ukendt</v>
      </c>
    </row>
    <row r="42" spans="1:15">
      <c r="A42" s="20" t="s">
        <v>301</v>
      </c>
      <c r="B42" s="15" t="s">
        <v>30</v>
      </c>
      <c r="C42" s="15" t="s">
        <v>201</v>
      </c>
      <c r="D42" s="16">
        <v>1</v>
      </c>
      <c r="E42" s="17">
        <v>40</v>
      </c>
      <c r="F42" s="17">
        <v>50</v>
      </c>
      <c r="G42" s="17">
        <v>12</v>
      </c>
      <c r="H42" s="17">
        <v>12</v>
      </c>
      <c r="I42" s="24" t="s">
        <v>283</v>
      </c>
      <c r="J42" s="28"/>
      <c r="K42" s="17"/>
      <c r="L42" s="17" t="s">
        <v>302</v>
      </c>
      <c r="M42" s="41" t="str">
        <f>IF(ISNUMBER(Log[[#This Row],[Day]]),TEXT(Log[[#This Row],[Day]],"0"),Log[[#This Row],[Day]])</f>
        <v>1</v>
      </c>
      <c r="N42" s="41" t="str">
        <f>_xlfn.XLOOKUP(Log[[#This Row],[Exercise]],Exercises[Exercise],Exercises[Category],"Ukendt",0)</f>
        <v>Isolation</v>
      </c>
      <c r="O42" s="41" t="str">
        <f>_xlfn.XLOOKUP(Log[[#This Row],[Exercise]],Table5[Exercise],Table5[Primary],"Ukendt",0)</f>
        <v>Ukendt</v>
      </c>
    </row>
    <row r="43" spans="1:15">
      <c r="A43" s="20" t="s">
        <v>303</v>
      </c>
      <c r="B43" s="15" t="s">
        <v>30</v>
      </c>
      <c r="C43" s="15" t="s">
        <v>32</v>
      </c>
      <c r="D43" s="16" t="s">
        <v>31</v>
      </c>
      <c r="E43" s="17">
        <v>0</v>
      </c>
      <c r="F43" s="17">
        <v>0</v>
      </c>
      <c r="G43" s="17">
        <v>20</v>
      </c>
      <c r="H43" s="17">
        <v>20</v>
      </c>
      <c r="I43" s="24" t="s">
        <v>304</v>
      </c>
      <c r="J43" s="28"/>
      <c r="K43" s="17"/>
      <c r="L43" s="17" t="s">
        <v>305</v>
      </c>
      <c r="M43" s="41" t="str">
        <f>IF(ISNUMBER(Log[[#This Row],[Day]]),TEXT(Log[[#This Row],[Day]],"0"),Log[[#This Row],[Day]])</f>
        <v>H</v>
      </c>
      <c r="N43" s="41" t="str">
        <f>_xlfn.XLOOKUP(Log[[#This Row],[Exercise]],Exercises[Exercise],Exercises[Category],"Ukendt",0)</f>
        <v>Isolation</v>
      </c>
      <c r="O43" s="41" t="str">
        <f>_xlfn.XLOOKUP(Log[[#This Row],[Exercise]],Table5[Exercise],Table5[Primary],"Ukendt",0)</f>
        <v>Bryst</v>
      </c>
    </row>
    <row r="44" spans="1:15">
      <c r="A44" s="20" t="s">
        <v>303</v>
      </c>
      <c r="B44" s="15" t="s">
        <v>56</v>
      </c>
      <c r="C44" s="15" t="s">
        <v>92</v>
      </c>
      <c r="D44" s="16" t="s">
        <v>31</v>
      </c>
      <c r="E44" s="17" t="s">
        <v>93</v>
      </c>
      <c r="F44" s="17" t="s">
        <v>93</v>
      </c>
      <c r="G44" s="17">
        <v>10</v>
      </c>
      <c r="H44" s="17">
        <v>10</v>
      </c>
      <c r="I44" s="24" t="s">
        <v>304</v>
      </c>
      <c r="J44" s="28"/>
      <c r="K44" s="17"/>
      <c r="L44" s="17" t="s">
        <v>306</v>
      </c>
      <c r="M44" s="41" t="str">
        <f>IF(ISNUMBER(Log[[#This Row],[Day]]),TEXT(Log[[#This Row],[Day]],"0"),Log[[#This Row],[Day]])</f>
        <v>H</v>
      </c>
      <c r="N44" s="41" t="str">
        <f>_xlfn.XLOOKUP(Log[[#This Row],[Exercise]],Exercises[Exercise],Exercises[Category],"Ukendt",0)</f>
        <v>Isolation</v>
      </c>
      <c r="O44" s="41" t="str">
        <f>_xlfn.XLOOKUP(Log[[#This Row],[Exercise]],Table5[Exercise],Table5[Primary],"Ukendt",0)</f>
        <v>Biceps</v>
      </c>
    </row>
    <row r="45" spans="1:15">
      <c r="A45" s="20" t="s">
        <v>303</v>
      </c>
      <c r="B45" s="15" t="s">
        <v>56</v>
      </c>
      <c r="C45" s="15" t="s">
        <v>106</v>
      </c>
      <c r="D45" s="16" t="s">
        <v>31</v>
      </c>
      <c r="E45" s="17" t="s">
        <v>107</v>
      </c>
      <c r="F45" s="17" t="s">
        <v>107</v>
      </c>
      <c r="G45" s="17">
        <v>8</v>
      </c>
      <c r="H45" s="17">
        <v>8</v>
      </c>
      <c r="I45" s="24" t="s">
        <v>304</v>
      </c>
      <c r="J45" s="28"/>
      <c r="K45" s="17"/>
      <c r="L45" s="17" t="s">
        <v>307</v>
      </c>
      <c r="M45" s="41" t="str">
        <f>IF(ISNUMBER(Log[[#This Row],[Day]]),TEXT(Log[[#This Row],[Day]],"0"),Log[[#This Row],[Day]])</f>
        <v>H</v>
      </c>
      <c r="N45" s="41" t="str">
        <f>_xlfn.XLOOKUP(Log[[#This Row],[Exercise]],Exercises[Exercise],Exercises[Category],"Ukendt",0)</f>
        <v>Isolation</v>
      </c>
      <c r="O45" s="41" t="str">
        <f>_xlfn.XLOOKUP(Log[[#This Row],[Exercise]],Table5[Exercise],Table5[Primary],"Ukendt",0)</f>
        <v>Biceps</v>
      </c>
    </row>
    <row r="46" spans="1:15">
      <c r="A46" s="20" t="s">
        <v>303</v>
      </c>
      <c r="B46" s="15" t="s">
        <v>21</v>
      </c>
      <c r="C46" s="15" t="s">
        <v>134</v>
      </c>
      <c r="D46" s="16" t="s">
        <v>31</v>
      </c>
      <c r="E46" s="17">
        <v>0</v>
      </c>
      <c r="F46" s="17">
        <v>0</v>
      </c>
      <c r="G46" s="17">
        <v>90</v>
      </c>
      <c r="H46" s="17">
        <v>90</v>
      </c>
      <c r="I46" s="24" t="s">
        <v>304</v>
      </c>
      <c r="J46" s="28"/>
      <c r="K46" s="17"/>
      <c r="L46" s="17" t="s">
        <v>308</v>
      </c>
      <c r="M46" s="41" t="str">
        <f>IF(ISNUMBER(Log[[#This Row],[Day]]),TEXT(Log[[#This Row],[Day]],"0"),Log[[#This Row],[Day]])</f>
        <v>H</v>
      </c>
      <c r="N46" s="41" t="str">
        <f>_xlfn.XLOOKUP(Log[[#This Row],[Exercise]],Exercises[Exercise],Exercises[Category],"Ukendt",0)</f>
        <v>Core</v>
      </c>
      <c r="O46" s="41" t="str">
        <f>_xlfn.XLOOKUP(Log[[#This Row],[Exercise]],Table5[Exercise],Table5[Primary],"Ukendt",0)</f>
        <v>Ukendt</v>
      </c>
    </row>
    <row r="47" spans="1:15">
      <c r="A47" s="20" t="s">
        <v>303</v>
      </c>
      <c r="B47" s="15" t="s">
        <v>21</v>
      </c>
      <c r="C47" s="15" t="s">
        <v>187</v>
      </c>
      <c r="D47" s="16" t="s">
        <v>31</v>
      </c>
      <c r="E47" s="17"/>
      <c r="F47" s="17"/>
      <c r="G47" s="17">
        <v>30</v>
      </c>
      <c r="H47" s="17">
        <v>45</v>
      </c>
      <c r="I47" s="24" t="s">
        <v>304</v>
      </c>
      <c r="J47" s="28"/>
      <c r="K47" s="17"/>
      <c r="L47" s="17" t="s">
        <v>309</v>
      </c>
      <c r="M47" s="41" t="str">
        <f>IF(ISNUMBER(Log[[#This Row],[Day]]),TEXT(Log[[#This Row],[Day]],"0"),Log[[#This Row],[Day]])</f>
        <v>H</v>
      </c>
      <c r="N47" s="41" t="str">
        <f>_xlfn.XLOOKUP(Log[[#This Row],[Exercise]],Exercises[Exercise],Exercises[Category],"Ukendt",0)</f>
        <v>Isolation</v>
      </c>
      <c r="O47" s="41" t="str">
        <f>_xlfn.XLOOKUP(Log[[#This Row],[Exercise]],Table5[Exercise],Table5[Primary],"Ukendt",0)</f>
        <v>Ukendt</v>
      </c>
    </row>
    <row r="48" spans="1:15">
      <c r="A48" s="20" t="s">
        <v>310</v>
      </c>
      <c r="B48" s="15" t="s">
        <v>21</v>
      </c>
      <c r="C48" s="15" t="s">
        <v>157</v>
      </c>
      <c r="D48" s="16">
        <v>3</v>
      </c>
      <c r="E48" s="17"/>
      <c r="F48" s="17"/>
      <c r="G48" s="17">
        <v>3</v>
      </c>
      <c r="H48" s="17">
        <v>3</v>
      </c>
      <c r="I48" s="24" t="s">
        <v>311</v>
      </c>
      <c r="J48" s="28"/>
      <c r="K48" s="17"/>
      <c r="L48" s="17" t="s">
        <v>312</v>
      </c>
      <c r="M48" s="41" t="str">
        <f>IF(ISNUMBER(Log[[#This Row],[Day]]),TEXT(Log[[#This Row],[Day]],"0"),Log[[#This Row],[Day]])</f>
        <v>3</v>
      </c>
      <c r="N48" s="41" t="str">
        <f>_xlfn.XLOOKUP(Log[[#This Row],[Exercise]],Exercises[Exercise],Exercises[Category],"Ukendt",0)</f>
        <v>Compound</v>
      </c>
      <c r="O48" s="41" t="str">
        <f>_xlfn.XLOOKUP(Log[[#This Row],[Exercise]],Table5[Exercise],Table5[Primary],"Ukendt",0)</f>
        <v>Ukendt</v>
      </c>
    </row>
    <row r="49" spans="1:15">
      <c r="A49" s="20" t="s">
        <v>313</v>
      </c>
      <c r="B49" s="15" t="s">
        <v>21</v>
      </c>
      <c r="C49" s="15" t="s">
        <v>88</v>
      </c>
      <c r="D49" s="16">
        <v>3</v>
      </c>
      <c r="E49" s="17">
        <v>35</v>
      </c>
      <c r="F49" s="17">
        <v>35</v>
      </c>
      <c r="G49" s="17">
        <v>3</v>
      </c>
      <c r="H49" s="17">
        <v>3</v>
      </c>
      <c r="I49" s="24" t="s">
        <v>311</v>
      </c>
      <c r="J49" s="28"/>
      <c r="K49" s="17"/>
      <c r="L49" s="17" t="s">
        <v>314</v>
      </c>
      <c r="M49" s="41" t="str">
        <f>IF(ISNUMBER(Log[[#This Row],[Day]]),TEXT(Log[[#This Row],[Day]],"0"),Log[[#This Row],[Day]])</f>
        <v>3</v>
      </c>
      <c r="N49" s="41" t="str">
        <f>_xlfn.XLOOKUP(Log[[#This Row],[Exercise]],Exercises[Exercise],Exercises[Category],"Ukendt",0)</f>
        <v>Stabilization</v>
      </c>
      <c r="O49" s="41" t="str">
        <f>_xlfn.XLOOKUP(Log[[#This Row],[Exercise]],Table5[Exercise],Table5[Primary],"Ukendt",0)</f>
        <v>Core</v>
      </c>
    </row>
    <row r="50" spans="1:15">
      <c r="A50" s="20" t="s">
        <v>315</v>
      </c>
      <c r="B50" s="15" t="s">
        <v>46</v>
      </c>
      <c r="C50" s="15" t="s">
        <v>79</v>
      </c>
      <c r="D50" s="16">
        <v>3</v>
      </c>
      <c r="E50" s="17">
        <v>20</v>
      </c>
      <c r="F50" s="17">
        <v>20</v>
      </c>
      <c r="G50" s="17">
        <v>20</v>
      </c>
      <c r="H50" s="17">
        <v>20</v>
      </c>
      <c r="I50" s="24" t="s">
        <v>311</v>
      </c>
      <c r="J50" s="28"/>
      <c r="K50" s="17"/>
      <c r="L50" s="17" t="s">
        <v>316</v>
      </c>
      <c r="M50" s="41" t="str">
        <f>IF(ISNUMBER(Log[[#This Row],[Day]]),TEXT(Log[[#This Row],[Day]],"0"),Log[[#This Row],[Day]])</f>
        <v>3</v>
      </c>
      <c r="N50" s="41" t="str">
        <f>_xlfn.XLOOKUP(Log[[#This Row],[Exercise]],Exercises[Exercise],Exercises[Category],"Ukendt",0)</f>
        <v>Compound</v>
      </c>
      <c r="O50" s="41" t="str">
        <f>_xlfn.XLOOKUP(Log[[#This Row],[Exercise]],Table5[Exercise],Table5[Primary],"Ukendt",0)</f>
        <v>Lår</v>
      </c>
    </row>
    <row r="51" spans="1:15">
      <c r="A51" s="20" t="s">
        <v>317</v>
      </c>
      <c r="B51" s="15" t="s">
        <v>46</v>
      </c>
      <c r="C51" s="15" t="s">
        <v>181</v>
      </c>
      <c r="D51" s="16">
        <v>3</v>
      </c>
      <c r="E51" s="17">
        <v>60</v>
      </c>
      <c r="F51" s="17">
        <v>60</v>
      </c>
      <c r="G51" s="17">
        <v>10</v>
      </c>
      <c r="H51" s="17">
        <v>10</v>
      </c>
      <c r="I51" s="24" t="s">
        <v>311</v>
      </c>
      <c r="J51" s="28"/>
      <c r="K51" s="17"/>
      <c r="L51" s="17" t="s">
        <v>318</v>
      </c>
      <c r="M51" s="41" t="str">
        <f>IF(ISNUMBER(Log[[#This Row],[Day]]),TEXT(Log[[#This Row],[Day]],"0"),Log[[#This Row],[Day]])</f>
        <v>3</v>
      </c>
      <c r="N51" s="41" t="str">
        <f>_xlfn.XLOOKUP(Log[[#This Row],[Exercise]],Exercises[Exercise],Exercises[Category],"Ukendt",0)</f>
        <v>Compound</v>
      </c>
      <c r="O51" s="41" t="str">
        <f>_xlfn.XLOOKUP(Log[[#This Row],[Exercise]],Table5[Exercise],Table5[Primary],"Ukendt",0)</f>
        <v>Ukendt</v>
      </c>
    </row>
    <row r="52" spans="1:15">
      <c r="A52" s="20" t="s">
        <v>319</v>
      </c>
      <c r="B52" s="15" t="s">
        <v>56</v>
      </c>
      <c r="C52" s="15" t="s">
        <v>83</v>
      </c>
      <c r="D52" s="16">
        <v>2</v>
      </c>
      <c r="E52" s="17">
        <v>20</v>
      </c>
      <c r="F52" s="17">
        <v>25</v>
      </c>
      <c r="G52" s="17">
        <v>12</v>
      </c>
      <c r="H52" s="17">
        <v>12</v>
      </c>
      <c r="I52" s="24" t="s">
        <v>311</v>
      </c>
      <c r="J52" s="28"/>
      <c r="K52" s="17"/>
      <c r="L52" s="17" t="s">
        <v>320</v>
      </c>
      <c r="M52" s="41" t="str">
        <f>IF(ISNUMBER(Log[[#This Row],[Day]]),TEXT(Log[[#This Row],[Day]],"0"),Log[[#This Row],[Day]])</f>
        <v>2</v>
      </c>
      <c r="N52" s="41" t="str">
        <f>_xlfn.XLOOKUP(Log[[#This Row],[Exercise]],Exercises[Exercise],Exercises[Category],"Ukendt",0)</f>
        <v>Compound</v>
      </c>
      <c r="O52" s="41" t="str">
        <f>_xlfn.XLOOKUP(Log[[#This Row],[Exercise]],Table5[Exercise],Table5[Primary],"Ukendt",0)</f>
        <v>Ryg</v>
      </c>
    </row>
    <row r="53" spans="1:15">
      <c r="A53" s="20" t="s">
        <v>321</v>
      </c>
      <c r="B53" s="15" t="s">
        <v>46</v>
      </c>
      <c r="C53" s="15" t="s">
        <v>115</v>
      </c>
      <c r="D53" s="16">
        <v>3</v>
      </c>
      <c r="E53" s="17">
        <v>115</v>
      </c>
      <c r="F53" s="17">
        <v>115</v>
      </c>
      <c r="G53" s="17">
        <v>12</v>
      </c>
      <c r="H53" s="17">
        <v>12</v>
      </c>
      <c r="I53" s="24" t="s">
        <v>311</v>
      </c>
      <c r="J53" s="28"/>
      <c r="K53" s="17"/>
      <c r="L53" s="17" t="s">
        <v>322</v>
      </c>
      <c r="M53" s="41" t="str">
        <f>IF(ISNUMBER(Log[[#This Row],[Day]]),TEXT(Log[[#This Row],[Day]],"0"),Log[[#This Row],[Day]])</f>
        <v>3</v>
      </c>
      <c r="N53" s="41" t="str">
        <f>_xlfn.XLOOKUP(Log[[#This Row],[Exercise]],Exercises[Exercise],Exercises[Category],"Ukendt",0)</f>
        <v>Isolation</v>
      </c>
      <c r="O53" s="41" t="str">
        <f>_xlfn.XLOOKUP(Log[[#This Row],[Exercise]],Table5[Exercise],Table5[Primary],"Ukendt",0)</f>
        <v>Lår</v>
      </c>
    </row>
    <row r="54" spans="1:15">
      <c r="A54" s="20" t="s">
        <v>323</v>
      </c>
      <c r="B54" s="15" t="s">
        <v>21</v>
      </c>
      <c r="C54" s="15" t="s">
        <v>67</v>
      </c>
      <c r="D54" s="16">
        <v>3</v>
      </c>
      <c r="E54" s="17">
        <v>15</v>
      </c>
      <c r="F54" s="17">
        <v>30</v>
      </c>
      <c r="G54" s="17">
        <v>12</v>
      </c>
      <c r="H54" s="17">
        <v>12</v>
      </c>
      <c r="I54" s="24" t="s">
        <v>311</v>
      </c>
      <c r="J54" s="28"/>
      <c r="K54" s="17"/>
      <c r="L54" s="17" t="s">
        <v>324</v>
      </c>
      <c r="M54" s="41" t="str">
        <f>IF(ISNUMBER(Log[[#This Row],[Day]]),TEXT(Log[[#This Row],[Day]],"0"),Log[[#This Row],[Day]])</f>
        <v>3</v>
      </c>
      <c r="N54" s="41" t="str">
        <f>_xlfn.XLOOKUP(Log[[#This Row],[Exercise]],Exercises[Exercise],Exercises[Category],"Ukendt",0)</f>
        <v>Compound</v>
      </c>
      <c r="O54" s="41" t="str">
        <f>_xlfn.XLOOKUP(Log[[#This Row],[Exercise]],Table5[Exercise],Table5[Primary],"Ukendt",0)</f>
        <v>Core</v>
      </c>
    </row>
    <row r="55" spans="1:15">
      <c r="A55" s="20" t="s">
        <v>325</v>
      </c>
      <c r="B55" s="15" t="s">
        <v>46</v>
      </c>
      <c r="C55" s="15" t="s">
        <v>48</v>
      </c>
      <c r="D55" s="16">
        <v>3</v>
      </c>
      <c r="E55" s="17">
        <v>0</v>
      </c>
      <c r="F55" s="17">
        <v>0</v>
      </c>
      <c r="G55" s="17">
        <v>12</v>
      </c>
      <c r="H55" s="17">
        <v>12</v>
      </c>
      <c r="I55" s="24" t="s">
        <v>311</v>
      </c>
      <c r="J55" s="28"/>
      <c r="K55" s="17"/>
      <c r="L55" s="17" t="s">
        <v>326</v>
      </c>
      <c r="M55" s="41" t="str">
        <f>IF(ISNUMBER(Log[[#This Row],[Day]]),TEXT(Log[[#This Row],[Day]],"0"),Log[[#This Row],[Day]])</f>
        <v>3</v>
      </c>
      <c r="N55" s="41" t="str">
        <f>_xlfn.XLOOKUP(Log[[#This Row],[Exercise]],Exercises[Exercise],Exercises[Category],"Ukendt",0)</f>
        <v>Compound</v>
      </c>
      <c r="O55" s="41" t="str">
        <f>_xlfn.XLOOKUP(Log[[#This Row],[Exercise]],Table5[Exercise],Table5[Primary],"Ukendt",0)</f>
        <v>Lår</v>
      </c>
    </row>
    <row r="56" spans="1:15">
      <c r="A56" s="20" t="s">
        <v>325</v>
      </c>
      <c r="B56" s="15" t="s">
        <v>56</v>
      </c>
      <c r="C56" s="15" t="s">
        <v>59</v>
      </c>
      <c r="D56" s="16">
        <v>2</v>
      </c>
      <c r="E56" s="17">
        <v>40</v>
      </c>
      <c r="F56" s="17">
        <v>35</v>
      </c>
      <c r="G56" s="17">
        <v>12</v>
      </c>
      <c r="H56" s="17">
        <v>12</v>
      </c>
      <c r="I56" s="24" t="s">
        <v>311</v>
      </c>
      <c r="J56" s="28"/>
      <c r="K56" s="17"/>
      <c r="L56" s="17" t="s">
        <v>327</v>
      </c>
      <c r="M56" s="41" t="str">
        <f>IF(ISNUMBER(Log[[#This Row],[Day]]),TEXT(Log[[#This Row],[Day]],"0"),Log[[#This Row],[Day]])</f>
        <v>2</v>
      </c>
      <c r="N56" s="41" t="str">
        <f>_xlfn.XLOOKUP(Log[[#This Row],[Exercise]],Exercises[Exercise],Exercises[Category],"Ukendt",0)</f>
        <v>Stabilization</v>
      </c>
      <c r="O56" s="41" t="str">
        <f>_xlfn.XLOOKUP(Log[[#This Row],[Exercise]],Table5[Exercise],Table5[Primary],"Ukendt",0)</f>
        <v>Rotatormanchet</v>
      </c>
    </row>
    <row r="57" spans="1:15">
      <c r="A57" s="20" t="s">
        <v>328</v>
      </c>
      <c r="B57" s="21" t="s">
        <v>21</v>
      </c>
      <c r="C57" s="21" t="s">
        <v>24</v>
      </c>
      <c r="D57" s="21"/>
      <c r="E57" s="23">
        <v>0</v>
      </c>
      <c r="F57" s="23">
        <v>0</v>
      </c>
      <c r="G57" s="23">
        <v>10</v>
      </c>
      <c r="H57" s="23">
        <v>6</v>
      </c>
      <c r="I57" s="24" t="s">
        <v>329</v>
      </c>
      <c r="J57" s="27"/>
      <c r="K57" s="23"/>
      <c r="L57" s="23" t="s">
        <v>330</v>
      </c>
      <c r="M57" s="40">
        <f>IF(ISNUMBER(Log[[#This Row],[Day]]),TEXT(Log[[#This Row],[Day]],"0"),Log[[#This Row],[Day]])</f>
        <v>0</v>
      </c>
      <c r="N57" s="40" t="str">
        <f>_xlfn.XLOOKUP(Log[[#This Row],[Exercise]],Exercises[Exercise],Exercises[Category],"Ukendt",0)</f>
        <v>Isolation</v>
      </c>
      <c r="O57" s="40" t="str">
        <f>_xlfn.XLOOKUP(Log[[#This Row],[Exercise]],Table5[Exercise],Table5[Primary],"Ukendt",0)</f>
        <v>Mave</v>
      </c>
    </row>
    <row r="58" spans="1:15">
      <c r="A58" s="20" t="s">
        <v>328</v>
      </c>
      <c r="B58" s="21" t="s">
        <v>30</v>
      </c>
      <c r="C58" s="15" t="s">
        <v>32</v>
      </c>
      <c r="D58" s="21"/>
      <c r="E58" s="23">
        <v>0</v>
      </c>
      <c r="F58" s="23">
        <v>0</v>
      </c>
      <c r="G58" s="23">
        <v>18</v>
      </c>
      <c r="H58" s="23">
        <v>18</v>
      </c>
      <c r="I58" s="24" t="s">
        <v>329</v>
      </c>
      <c r="J58" s="27"/>
      <c r="K58" s="23"/>
      <c r="L58" s="23" t="s">
        <v>331</v>
      </c>
      <c r="M58" s="40">
        <f>IF(ISNUMBER(Log[[#This Row],[Day]]),TEXT(Log[[#This Row],[Day]],"0"),Log[[#This Row],[Day]])</f>
        <v>0</v>
      </c>
      <c r="N58" s="40" t="str">
        <f>_xlfn.XLOOKUP(Log[[#This Row],[Exercise]],Exercises[Exercise],Exercises[Category],"Ukendt",0)</f>
        <v>Isolation</v>
      </c>
      <c r="O58" s="40" t="str">
        <f>_xlfn.XLOOKUP(Log[[#This Row],[Exercise]],Table5[Exercise],Table5[Primary],"Ukendt",0)</f>
        <v>Bryst</v>
      </c>
    </row>
    <row r="59" spans="1:15">
      <c r="A59" s="20" t="s">
        <v>328</v>
      </c>
      <c r="B59" s="21" t="s">
        <v>30</v>
      </c>
      <c r="C59" s="21" t="s">
        <v>35</v>
      </c>
      <c r="D59" s="21"/>
      <c r="E59" s="23">
        <v>0</v>
      </c>
      <c r="F59" s="23">
        <v>0</v>
      </c>
      <c r="G59" s="23">
        <v>12</v>
      </c>
      <c r="H59" s="23">
        <v>12</v>
      </c>
      <c r="I59" s="24" t="s">
        <v>329</v>
      </c>
      <c r="J59" s="27"/>
      <c r="K59" s="23"/>
      <c r="L59" s="23" t="s">
        <v>332</v>
      </c>
      <c r="M59" s="40">
        <f>IF(ISNUMBER(Log[[#This Row],[Day]]),TEXT(Log[[#This Row],[Day]],"0"),Log[[#This Row],[Day]])</f>
        <v>0</v>
      </c>
      <c r="N59" s="40" t="str">
        <f>_xlfn.XLOOKUP(Log[[#This Row],[Exercise]],Exercises[Exercise],Exercises[Category],"Ukendt",0)</f>
        <v>Compound</v>
      </c>
      <c r="O59" s="40" t="str">
        <f>_xlfn.XLOOKUP(Log[[#This Row],[Exercise]],Table5[Exercise],Table5[Primary],"Ukendt",0)</f>
        <v>Triceps</v>
      </c>
    </row>
    <row r="60" spans="1:15">
      <c r="A60" s="20" t="s">
        <v>328</v>
      </c>
      <c r="B60" s="21" t="s">
        <v>30</v>
      </c>
      <c r="C60" s="21" t="s">
        <v>41</v>
      </c>
      <c r="D60" s="21"/>
      <c r="E60" s="23">
        <v>50</v>
      </c>
      <c r="F60" s="23">
        <v>50</v>
      </c>
      <c r="G60" s="23">
        <v>12</v>
      </c>
      <c r="H60" s="23">
        <v>12</v>
      </c>
      <c r="I60" s="24" t="s">
        <v>329</v>
      </c>
      <c r="J60" s="27"/>
      <c r="K60" s="23"/>
      <c r="L60" s="23" t="s">
        <v>333</v>
      </c>
      <c r="M60" s="40">
        <f>IF(ISNUMBER(Log[[#This Row],[Day]]),TEXT(Log[[#This Row],[Day]],"0"),Log[[#This Row],[Day]])</f>
        <v>0</v>
      </c>
      <c r="N60" s="40" t="str">
        <f>_xlfn.XLOOKUP(Log[[#This Row],[Exercise]],Exercises[Exercise],Exercises[Category],"Ukendt",0)</f>
        <v>Compound</v>
      </c>
      <c r="O60" s="40" t="str">
        <f>_xlfn.XLOOKUP(Log[[#This Row],[Exercise]],Table5[Exercise],Table5[Primary],"Ukendt",0)</f>
        <v>Bryst</v>
      </c>
    </row>
    <row r="61" spans="1:15">
      <c r="A61" s="20" t="s">
        <v>328</v>
      </c>
      <c r="B61" s="21" t="s">
        <v>21</v>
      </c>
      <c r="C61" s="21" t="s">
        <v>52</v>
      </c>
      <c r="D61" s="21"/>
      <c r="E61" s="23">
        <v>80</v>
      </c>
      <c r="F61" s="23">
        <v>80</v>
      </c>
      <c r="G61" s="23">
        <v>12</v>
      </c>
      <c r="H61" s="23">
        <v>12</v>
      </c>
      <c r="I61" s="24" t="s">
        <v>329</v>
      </c>
      <c r="J61" s="27"/>
      <c r="K61" s="23"/>
      <c r="L61" s="23" t="s">
        <v>334</v>
      </c>
      <c r="M61" s="40">
        <f>IF(ISNUMBER(Log[[#This Row],[Day]]),TEXT(Log[[#This Row],[Day]],"0"),Log[[#This Row],[Day]])</f>
        <v>0</v>
      </c>
      <c r="N61" s="40" t="str">
        <f>_xlfn.XLOOKUP(Log[[#This Row],[Exercise]],Exercises[Exercise],Exercises[Category],"Ukendt",0)</f>
        <v>Core</v>
      </c>
      <c r="O61" s="40" t="str">
        <f>_xlfn.XLOOKUP(Log[[#This Row],[Exercise]],Table5[Exercise],Table5[Primary],"Ukendt",0)</f>
        <v>Mave</v>
      </c>
    </row>
    <row r="62" spans="1:15">
      <c r="A62" s="20" t="s">
        <v>328</v>
      </c>
      <c r="B62" s="21" t="s">
        <v>56</v>
      </c>
      <c r="C62" s="21" t="s">
        <v>153</v>
      </c>
      <c r="D62" s="21"/>
      <c r="E62" s="23">
        <v>50</v>
      </c>
      <c r="F62" s="23">
        <v>50</v>
      </c>
      <c r="G62" s="23">
        <v>15</v>
      </c>
      <c r="H62" s="23">
        <v>15</v>
      </c>
      <c r="I62" s="24" t="s">
        <v>329</v>
      </c>
      <c r="J62" s="27"/>
      <c r="K62" s="23"/>
      <c r="L62" s="23" t="s">
        <v>335</v>
      </c>
      <c r="M62" s="40">
        <f>IF(ISNUMBER(Log[[#This Row],[Day]]),TEXT(Log[[#This Row],[Day]],"0"),Log[[#This Row],[Day]])</f>
        <v>0</v>
      </c>
      <c r="N62" s="40" t="str">
        <f>_xlfn.XLOOKUP(Log[[#This Row],[Exercise]],Exercises[Exercise],Exercises[Category],"Ukendt",0)</f>
        <v>Stabilization</v>
      </c>
      <c r="O62" s="40" t="str">
        <f>_xlfn.XLOOKUP(Log[[#This Row],[Exercise]],Table5[Exercise],Table5[Primary],"Ukendt",0)</f>
        <v>Ukendt</v>
      </c>
    </row>
    <row r="63" spans="1:15">
      <c r="A63" s="20" t="s">
        <v>328</v>
      </c>
      <c r="B63" s="21" t="s">
        <v>21</v>
      </c>
      <c r="C63" s="21" t="s">
        <v>88</v>
      </c>
      <c r="D63" s="21"/>
      <c r="E63" s="23">
        <v>30</v>
      </c>
      <c r="F63" s="23">
        <v>30</v>
      </c>
      <c r="G63" s="23">
        <v>3</v>
      </c>
      <c r="H63" s="23">
        <v>3</v>
      </c>
      <c r="I63" s="24" t="s">
        <v>329</v>
      </c>
      <c r="J63" s="27"/>
      <c r="K63" s="23"/>
      <c r="L63" s="23" t="s">
        <v>336</v>
      </c>
      <c r="M63" s="40">
        <f>IF(ISNUMBER(Log[[#This Row],[Day]]),TEXT(Log[[#This Row],[Day]],"0"),Log[[#This Row],[Day]])</f>
        <v>0</v>
      </c>
      <c r="N63" s="40" t="str">
        <f>_xlfn.XLOOKUP(Log[[#This Row],[Exercise]],Exercises[Exercise],Exercises[Category],"Ukendt",0)</f>
        <v>Stabilization</v>
      </c>
      <c r="O63" s="40" t="str">
        <f>_xlfn.XLOOKUP(Log[[#This Row],[Exercise]],Table5[Exercise],Table5[Primary],"Ukendt",0)</f>
        <v>Core</v>
      </c>
    </row>
    <row r="64" spans="1:15">
      <c r="A64" s="20" t="s">
        <v>328</v>
      </c>
      <c r="B64" s="21" t="s">
        <v>21</v>
      </c>
      <c r="C64" s="21" t="s">
        <v>97</v>
      </c>
      <c r="D64" s="21"/>
      <c r="E64" s="23">
        <v>0</v>
      </c>
      <c r="F64" s="23">
        <v>0</v>
      </c>
      <c r="G64" s="23">
        <v>10</v>
      </c>
      <c r="H64" s="23">
        <v>15</v>
      </c>
      <c r="I64" s="24" t="s">
        <v>329</v>
      </c>
      <c r="J64" s="27"/>
      <c r="K64" s="23"/>
      <c r="L64" s="23" t="s">
        <v>337</v>
      </c>
      <c r="M64" s="40">
        <f>IF(ISNUMBER(Log[[#This Row],[Day]]),TEXT(Log[[#This Row],[Day]],"0"),Log[[#This Row],[Day]])</f>
        <v>0</v>
      </c>
      <c r="N64" s="40" t="str">
        <f>_xlfn.XLOOKUP(Log[[#This Row],[Exercise]],Exercises[Exercise],Exercises[Category],"Ukendt",0)</f>
        <v>Core</v>
      </c>
      <c r="O64" s="40" t="str">
        <f>_xlfn.XLOOKUP(Log[[#This Row],[Exercise]],Table5[Exercise],Table5[Primary],"Ukendt",0)</f>
        <v>Mave</v>
      </c>
    </row>
    <row r="65" spans="1:15">
      <c r="A65" s="20" t="s">
        <v>328</v>
      </c>
      <c r="B65" s="21" t="s">
        <v>30</v>
      </c>
      <c r="C65" s="15" t="s">
        <v>102</v>
      </c>
      <c r="D65" s="21"/>
      <c r="E65" s="23">
        <v>30</v>
      </c>
      <c r="F65" s="23">
        <v>30</v>
      </c>
      <c r="G65" s="23">
        <v>10</v>
      </c>
      <c r="H65" s="23">
        <v>10</v>
      </c>
      <c r="I65" s="24" t="s">
        <v>329</v>
      </c>
      <c r="J65" s="27"/>
      <c r="K65" s="23"/>
      <c r="L65" s="23" t="s">
        <v>338</v>
      </c>
      <c r="M65" s="40">
        <f>IF(ISNUMBER(Log[[#This Row],[Day]]),TEXT(Log[[#This Row],[Day]],"0"),Log[[#This Row],[Day]])</f>
        <v>0</v>
      </c>
      <c r="N65" s="40" t="str">
        <f>_xlfn.XLOOKUP(Log[[#This Row],[Exercise]],Exercises[Exercise],Exercises[Category],"Ukendt",0)</f>
        <v>Compound</v>
      </c>
      <c r="O65" s="40" t="str">
        <f>_xlfn.XLOOKUP(Log[[#This Row],[Exercise]],Table5[Exercise],Table5[Primary],"Ukendt",0)</f>
        <v>Bryst</v>
      </c>
    </row>
    <row r="66" spans="1:15">
      <c r="A66" s="20" t="s">
        <v>328</v>
      </c>
      <c r="B66" s="21" t="s">
        <v>30</v>
      </c>
      <c r="C66" s="21" t="s">
        <v>111</v>
      </c>
      <c r="D66" s="21"/>
      <c r="E66" s="23">
        <v>8</v>
      </c>
      <c r="F66" s="23">
        <v>8</v>
      </c>
      <c r="G66" s="23">
        <v>12</v>
      </c>
      <c r="H66" s="23">
        <v>12</v>
      </c>
      <c r="I66" s="24" t="s">
        <v>329</v>
      </c>
      <c r="J66" s="27"/>
      <c r="K66" s="23"/>
      <c r="L66" s="23" t="s">
        <v>339</v>
      </c>
      <c r="M66" s="40">
        <f>IF(ISNUMBER(Log[[#This Row],[Day]]),TEXT(Log[[#This Row],[Day]],"0"),Log[[#This Row],[Day]])</f>
        <v>0</v>
      </c>
      <c r="N66" s="40" t="str">
        <f>_xlfn.XLOOKUP(Log[[#This Row],[Exercise]],Exercises[Exercise],Exercises[Category],"Ukendt",0)</f>
        <v>Stabilization</v>
      </c>
      <c r="O66" s="40" t="str">
        <f>_xlfn.XLOOKUP(Log[[#This Row],[Exercise]],Table5[Exercise],Table5[Primary],"Ukendt",0)</f>
        <v>Skulder</v>
      </c>
    </row>
    <row r="67" spans="1:15">
      <c r="A67" s="20" t="s">
        <v>328</v>
      </c>
      <c r="B67" s="21" t="s">
        <v>30</v>
      </c>
      <c r="C67" s="21" t="s">
        <v>164</v>
      </c>
      <c r="D67" s="21"/>
      <c r="E67" s="23">
        <v>30</v>
      </c>
      <c r="F67" s="23">
        <v>30</v>
      </c>
      <c r="G67" s="23">
        <v>10</v>
      </c>
      <c r="H67" s="23">
        <v>10</v>
      </c>
      <c r="I67" s="24" t="s">
        <v>329</v>
      </c>
      <c r="J67" s="27"/>
      <c r="K67" s="23"/>
      <c r="L67" s="23" t="s">
        <v>340</v>
      </c>
      <c r="M67" s="40">
        <f>IF(ISNUMBER(Log[[#This Row],[Day]]),TEXT(Log[[#This Row],[Day]],"0"),Log[[#This Row],[Day]])</f>
        <v>0</v>
      </c>
      <c r="N67" s="40" t="str">
        <f>_xlfn.XLOOKUP(Log[[#This Row],[Exercise]],Exercises[Exercise],Exercises[Category],"Ukendt",0)</f>
        <v>Compound</v>
      </c>
      <c r="O67" s="40" t="str">
        <f>_xlfn.XLOOKUP(Log[[#This Row],[Exercise]],Table5[Exercise],Table5[Primary],"Ukendt",0)</f>
        <v>Ukendt</v>
      </c>
    </row>
    <row r="68" spans="1:15">
      <c r="A68" s="20" t="s">
        <v>328</v>
      </c>
      <c r="B68" s="21" t="s">
        <v>30</v>
      </c>
      <c r="C68" s="21" t="s">
        <v>170</v>
      </c>
      <c r="D68" s="21"/>
      <c r="E68" s="23">
        <v>8</v>
      </c>
      <c r="F68" s="23">
        <v>8</v>
      </c>
      <c r="G68" s="23">
        <v>12</v>
      </c>
      <c r="H68" s="23">
        <v>12</v>
      </c>
      <c r="I68" s="24" t="s">
        <v>329</v>
      </c>
      <c r="J68" s="27"/>
      <c r="K68" s="23"/>
      <c r="L68" s="23" t="s">
        <v>341</v>
      </c>
      <c r="M68" s="40">
        <f>IF(ISNUMBER(Log[[#This Row],[Day]]),TEXT(Log[[#This Row],[Day]],"0"),Log[[#This Row],[Day]])</f>
        <v>0</v>
      </c>
      <c r="N68" s="40" t="str">
        <f>_xlfn.XLOOKUP(Log[[#This Row],[Exercise]],Exercises[Exercise],Exercises[Category],"Ukendt",0)</f>
        <v>Isolation</v>
      </c>
      <c r="O68" s="40" t="str">
        <f>_xlfn.XLOOKUP(Log[[#This Row],[Exercise]],Table5[Exercise],Table5[Primary],"Ukendt",0)</f>
        <v>Ukendt</v>
      </c>
    </row>
    <row r="69" spans="1:15">
      <c r="A69" s="20" t="s">
        <v>328</v>
      </c>
      <c r="B69" s="21" t="s">
        <v>30</v>
      </c>
      <c r="C69" s="15" t="s">
        <v>196</v>
      </c>
      <c r="D69" s="21"/>
      <c r="E69" s="23">
        <v>50</v>
      </c>
      <c r="F69" s="23">
        <v>50</v>
      </c>
      <c r="G69" s="23">
        <v>12</v>
      </c>
      <c r="H69" s="23">
        <v>12</v>
      </c>
      <c r="I69" s="24" t="s">
        <v>329</v>
      </c>
      <c r="J69" s="27"/>
      <c r="K69" s="23"/>
      <c r="L69" s="23" t="s">
        <v>342</v>
      </c>
      <c r="M69" s="40">
        <f>IF(ISNUMBER(Log[[#This Row],[Day]]),TEXT(Log[[#This Row],[Day]],"0"),Log[[#This Row],[Day]])</f>
        <v>0</v>
      </c>
      <c r="N69" s="40" t="str">
        <f>_xlfn.XLOOKUP(Log[[#This Row],[Exercise]],Exercises[Exercise],Exercises[Category],"Ukendt",0)</f>
        <v>Compound</v>
      </c>
      <c r="O69" s="40" t="str">
        <f>_xlfn.XLOOKUP(Log[[#This Row],[Exercise]],Table5[Exercise],Table5[Primary],"Ukendt",0)</f>
        <v>Ukendt</v>
      </c>
    </row>
    <row r="70" spans="1:15">
      <c r="A70" s="20" t="s">
        <v>343</v>
      </c>
      <c r="B70" s="21" t="s">
        <v>56</v>
      </c>
      <c r="C70" s="15" t="s">
        <v>63</v>
      </c>
      <c r="D70" s="21"/>
      <c r="E70" s="23">
        <v>30</v>
      </c>
      <c r="F70" s="23">
        <v>30</v>
      </c>
      <c r="G70" s="23">
        <v>6</v>
      </c>
      <c r="H70" s="23">
        <v>6</v>
      </c>
      <c r="I70" s="24" t="s">
        <v>344</v>
      </c>
      <c r="J70" s="27"/>
      <c r="K70" s="23"/>
      <c r="L70" s="23" t="s">
        <v>345</v>
      </c>
      <c r="M70" s="40">
        <f>IF(ISNUMBER(Log[[#This Row],[Day]]),TEXT(Log[[#This Row],[Day]],"0"),Log[[#This Row],[Day]])</f>
        <v>0</v>
      </c>
      <c r="N70" s="40" t="str">
        <f>_xlfn.XLOOKUP(Log[[#This Row],[Exercise]],Exercises[Exercise],Exercises[Category],"Ukendt",0)</f>
        <v>Stabilization</v>
      </c>
      <c r="O70" s="40" t="str">
        <f>_xlfn.XLOOKUP(Log[[#This Row],[Exercise]],Table5[Exercise],Table5[Primary],"Ukendt",0)</f>
        <v>Rotatormanchet</v>
      </c>
    </row>
    <row r="71" spans="1:15">
      <c r="A71" s="20" t="s">
        <v>343</v>
      </c>
      <c r="B71" s="21" t="s">
        <v>56</v>
      </c>
      <c r="C71" s="21" t="s">
        <v>83</v>
      </c>
      <c r="D71" s="21"/>
      <c r="E71" s="23">
        <v>20</v>
      </c>
      <c r="F71" s="23">
        <v>20</v>
      </c>
      <c r="G71" s="23">
        <v>12</v>
      </c>
      <c r="H71" s="23">
        <v>12</v>
      </c>
      <c r="I71" s="24" t="s">
        <v>344</v>
      </c>
      <c r="J71" s="27"/>
      <c r="K71" s="23"/>
      <c r="L71" s="23" t="s">
        <v>346</v>
      </c>
      <c r="M71" s="40">
        <f>IF(ISNUMBER(Log[[#This Row],[Day]]),TEXT(Log[[#This Row],[Day]],"0"),Log[[#This Row],[Day]])</f>
        <v>0</v>
      </c>
      <c r="N71" s="40" t="str">
        <f>_xlfn.XLOOKUP(Log[[#This Row],[Exercise]],Exercises[Exercise],Exercises[Category],"Ukendt",0)</f>
        <v>Compound</v>
      </c>
      <c r="O71" s="40" t="str">
        <f>_xlfn.XLOOKUP(Log[[#This Row],[Exercise]],Table5[Exercise],Table5[Primary],"Ukendt",0)</f>
        <v>Ryg</v>
      </c>
    </row>
    <row r="72" spans="1:15">
      <c r="A72" s="20" t="s">
        <v>343</v>
      </c>
      <c r="B72" s="21" t="s">
        <v>56</v>
      </c>
      <c r="C72" s="21" t="s">
        <v>92</v>
      </c>
      <c r="D72" s="21"/>
      <c r="E72" s="23">
        <v>15</v>
      </c>
      <c r="F72" s="23">
        <v>15</v>
      </c>
      <c r="G72" s="23">
        <v>10</v>
      </c>
      <c r="H72" s="23">
        <v>10</v>
      </c>
      <c r="I72" s="24" t="s">
        <v>344</v>
      </c>
      <c r="J72" s="27"/>
      <c r="K72" s="23"/>
      <c r="L72" s="23" t="s">
        <v>347</v>
      </c>
      <c r="M72" s="40">
        <f>IF(ISNUMBER(Log[[#This Row],[Day]]),TEXT(Log[[#This Row],[Day]],"0"),Log[[#This Row],[Day]])</f>
        <v>0</v>
      </c>
      <c r="N72" s="40" t="str">
        <f>_xlfn.XLOOKUP(Log[[#This Row],[Exercise]],Exercises[Exercise],Exercises[Category],"Ukendt",0)</f>
        <v>Isolation</v>
      </c>
      <c r="O72" s="40" t="str">
        <f>_xlfn.XLOOKUP(Log[[#This Row],[Exercise]],Table5[Exercise],Table5[Primary],"Ukendt",0)</f>
        <v>Biceps</v>
      </c>
    </row>
    <row r="73" spans="1:15">
      <c r="A73" s="20" t="s">
        <v>343</v>
      </c>
      <c r="B73" s="21" t="s">
        <v>56</v>
      </c>
      <c r="C73" s="21" t="s">
        <v>190</v>
      </c>
      <c r="D73" s="21"/>
      <c r="E73" s="23">
        <v>40</v>
      </c>
      <c r="F73" s="23">
        <v>40</v>
      </c>
      <c r="G73" s="23">
        <v>12</v>
      </c>
      <c r="H73" s="23">
        <v>12</v>
      </c>
      <c r="I73" s="24" t="s">
        <v>344</v>
      </c>
      <c r="J73" s="27"/>
      <c r="K73" s="23"/>
      <c r="L73" s="23" t="s">
        <v>348</v>
      </c>
      <c r="M73" s="40">
        <f>IF(ISNUMBER(Log[[#This Row],[Day]]),TEXT(Log[[#This Row],[Day]],"0"),Log[[#This Row],[Day]])</f>
        <v>0</v>
      </c>
      <c r="N73" s="40" t="str">
        <f>_xlfn.XLOOKUP(Log[[#This Row],[Exercise]],Exercises[Exercise],Exercises[Category],"Ukendt",0)</f>
        <v>Isolation</v>
      </c>
      <c r="O73" s="40" t="str">
        <f>_xlfn.XLOOKUP(Log[[#This Row],[Exercise]],Table5[Exercise],Table5[Primary],"Ukendt",0)</f>
        <v>Ukendt</v>
      </c>
    </row>
    <row r="74" spans="1:15">
      <c r="A74" s="20" t="s">
        <v>349</v>
      </c>
      <c r="B74" s="21" t="s">
        <v>21</v>
      </c>
      <c r="C74" s="15" t="s">
        <v>134</v>
      </c>
      <c r="D74" s="21"/>
      <c r="E74" s="23">
        <v>0</v>
      </c>
      <c r="F74" s="23">
        <v>0</v>
      </c>
      <c r="G74" s="23">
        <v>60</v>
      </c>
      <c r="H74" s="23">
        <v>90</v>
      </c>
      <c r="I74" s="24" t="s">
        <v>350</v>
      </c>
      <c r="J74" s="27"/>
      <c r="K74" s="23"/>
      <c r="L74" s="23" t="s">
        <v>351</v>
      </c>
      <c r="M74" s="40">
        <f>IF(ISNUMBER(Log[[#This Row],[Day]]),TEXT(Log[[#This Row],[Day]],"0"),Log[[#This Row],[Day]])</f>
        <v>0</v>
      </c>
      <c r="N74" s="40" t="str">
        <f>_xlfn.XLOOKUP(Log[[#This Row],[Exercise]],Exercises[Exercise],Exercises[Category],"Ukendt",0)</f>
        <v>Core</v>
      </c>
      <c r="O74" s="40" t="str">
        <f>_xlfn.XLOOKUP(Log[[#This Row],[Exercise]],Table5[Exercise],Table5[Primary],"Ukendt",0)</f>
        <v>Ukendt</v>
      </c>
    </row>
    <row r="75" spans="1:15">
      <c r="A75" s="20" t="s">
        <v>352</v>
      </c>
      <c r="B75" s="21" t="s">
        <v>46</v>
      </c>
      <c r="C75" s="15" t="s">
        <v>79</v>
      </c>
      <c r="D75" s="21"/>
      <c r="E75" s="23">
        <v>20</v>
      </c>
      <c r="F75" s="23">
        <v>20</v>
      </c>
      <c r="G75" s="23">
        <v>12</v>
      </c>
      <c r="H75" s="23">
        <v>20</v>
      </c>
      <c r="I75" s="24" t="s">
        <v>353</v>
      </c>
      <c r="J75" s="27"/>
      <c r="K75" s="23"/>
      <c r="L75" s="23" t="s">
        <v>354</v>
      </c>
      <c r="M75" s="40">
        <f>IF(ISNUMBER(Log[[#This Row],[Day]]),TEXT(Log[[#This Row],[Day]],"0"),Log[[#This Row],[Day]])</f>
        <v>0</v>
      </c>
      <c r="N75" s="40" t="str">
        <f>_xlfn.XLOOKUP(Log[[#This Row],[Exercise]],Exercises[Exercise],Exercises[Category],"Ukendt",0)</f>
        <v>Compound</v>
      </c>
      <c r="O75" s="40" t="str">
        <f>_xlfn.XLOOKUP(Log[[#This Row],[Exercise]],Table5[Exercise],Table5[Primary],"Ukendt",0)</f>
        <v>Lår</v>
      </c>
    </row>
    <row r="76" spans="1:15">
      <c r="A76" s="20" t="s">
        <v>352</v>
      </c>
      <c r="B76" s="21" t="s">
        <v>56</v>
      </c>
      <c r="C76" s="21" t="s">
        <v>153</v>
      </c>
      <c r="D76" s="21"/>
      <c r="E76" s="23">
        <v>60</v>
      </c>
      <c r="F76" s="23">
        <v>60</v>
      </c>
      <c r="G76" s="23">
        <v>12</v>
      </c>
      <c r="H76" s="23">
        <v>12</v>
      </c>
      <c r="I76" s="24" t="s">
        <v>353</v>
      </c>
      <c r="J76" s="27"/>
      <c r="K76" s="23"/>
      <c r="L76" s="23" t="s">
        <v>355</v>
      </c>
      <c r="M76" s="40">
        <f>IF(ISNUMBER(Log[[#This Row],[Day]]),TEXT(Log[[#This Row],[Day]],"0"),Log[[#This Row],[Day]])</f>
        <v>0</v>
      </c>
      <c r="N76" s="40" t="str">
        <f>_xlfn.XLOOKUP(Log[[#This Row],[Exercise]],Exercises[Exercise],Exercises[Category],"Ukendt",0)</f>
        <v>Stabilization</v>
      </c>
      <c r="O76" s="40" t="str">
        <f>_xlfn.XLOOKUP(Log[[#This Row],[Exercise]],Table5[Exercise],Table5[Primary],"Ukendt",0)</f>
        <v>Ukendt</v>
      </c>
    </row>
    <row r="77" spans="1:15">
      <c r="A77" s="20" t="s">
        <v>352</v>
      </c>
      <c r="B77" s="21" t="s">
        <v>21</v>
      </c>
      <c r="C77" s="21" t="s">
        <v>88</v>
      </c>
      <c r="D77" s="21"/>
      <c r="E77" s="23">
        <v>30</v>
      </c>
      <c r="F77" s="23">
        <v>30</v>
      </c>
      <c r="G77" s="23">
        <v>1</v>
      </c>
      <c r="H77" s="23">
        <v>3</v>
      </c>
      <c r="I77" s="24" t="s">
        <v>353</v>
      </c>
      <c r="J77" s="27"/>
      <c r="K77" s="23"/>
      <c r="L77" s="23" t="s">
        <v>356</v>
      </c>
      <c r="M77" s="40">
        <f>IF(ISNUMBER(Log[[#This Row],[Day]]),TEXT(Log[[#This Row],[Day]],"0"),Log[[#This Row],[Day]])</f>
        <v>0</v>
      </c>
      <c r="N77" s="40" t="str">
        <f>_xlfn.XLOOKUP(Log[[#This Row],[Exercise]],Exercises[Exercise],Exercises[Category],"Ukendt",0)</f>
        <v>Stabilization</v>
      </c>
      <c r="O77" s="40" t="str">
        <f>_xlfn.XLOOKUP(Log[[#This Row],[Exercise]],Table5[Exercise],Table5[Primary],"Ukendt",0)</f>
        <v>Core</v>
      </c>
    </row>
    <row r="78" spans="1:15">
      <c r="A78" s="20" t="s">
        <v>352</v>
      </c>
      <c r="B78" s="21" t="s">
        <v>56</v>
      </c>
      <c r="C78" s="21" t="s">
        <v>218</v>
      </c>
      <c r="D78" s="21"/>
      <c r="E78" s="23">
        <v>60</v>
      </c>
      <c r="F78" s="23">
        <v>60</v>
      </c>
      <c r="G78" s="23">
        <v>10</v>
      </c>
      <c r="H78" s="23">
        <v>10</v>
      </c>
      <c r="I78" s="24" t="s">
        <v>353</v>
      </c>
      <c r="J78" s="27"/>
      <c r="K78" s="23"/>
      <c r="L78" s="23" t="s">
        <v>357</v>
      </c>
      <c r="M78" s="40">
        <f>IF(ISNUMBER(Log[[#This Row],[Day]]),TEXT(Log[[#This Row],[Day]],"0"),Log[[#This Row],[Day]])</f>
        <v>0</v>
      </c>
      <c r="N78" s="40" t="str">
        <f>_xlfn.XLOOKUP(Log[[#This Row],[Exercise]],Exercises[Exercise],Exercises[Category],"Ukendt",0)</f>
        <v>Isolation</v>
      </c>
      <c r="O78" s="40" t="str">
        <f>_xlfn.XLOOKUP(Log[[#This Row],[Exercise]],Table5[Exercise],Table5[Primary],"Ukendt",0)</f>
        <v>Ukendt</v>
      </c>
    </row>
    <row r="79" spans="1:15">
      <c r="A79" s="20" t="s">
        <v>352</v>
      </c>
      <c r="B79" s="21" t="s">
        <v>56</v>
      </c>
      <c r="C79" s="21" t="s">
        <v>131</v>
      </c>
      <c r="D79" s="21"/>
      <c r="E79" s="23">
        <v>80</v>
      </c>
      <c r="F79" s="23">
        <v>80</v>
      </c>
      <c r="G79" s="23">
        <v>8</v>
      </c>
      <c r="H79" s="23">
        <v>12</v>
      </c>
      <c r="I79" s="24" t="s">
        <v>353</v>
      </c>
      <c r="J79" s="27"/>
      <c r="K79" s="23"/>
      <c r="L79" s="23" t="s">
        <v>358</v>
      </c>
      <c r="M79" s="40">
        <f>IF(ISNUMBER(Log[[#This Row],[Day]]),TEXT(Log[[#This Row],[Day]],"0"),Log[[#This Row],[Day]])</f>
        <v>0</v>
      </c>
      <c r="N79" s="40" t="str">
        <f>_xlfn.XLOOKUP(Log[[#This Row],[Exercise]],Exercises[Exercise],Exercises[Category],"Ukendt",0)</f>
        <v>Isolation</v>
      </c>
      <c r="O79" s="40" t="str">
        <f>_xlfn.XLOOKUP(Log[[#This Row],[Exercise]],Table5[Exercise],Table5[Primary],"Ukendt",0)</f>
        <v>Ukendt</v>
      </c>
    </row>
    <row r="80" spans="1:15">
      <c r="A80" s="20" t="s">
        <v>352</v>
      </c>
      <c r="B80" s="21" t="s">
        <v>46</v>
      </c>
      <c r="C80" s="21" t="s">
        <v>115</v>
      </c>
      <c r="D80" s="21"/>
      <c r="E80" s="23">
        <v>0</v>
      </c>
      <c r="F80" s="23">
        <v>0</v>
      </c>
      <c r="G80" s="23">
        <v>10</v>
      </c>
      <c r="H80" s="23">
        <v>20</v>
      </c>
      <c r="I80" s="24" t="s">
        <v>353</v>
      </c>
      <c r="J80" s="27"/>
      <c r="K80" s="23"/>
      <c r="L80" s="23" t="s">
        <v>359</v>
      </c>
      <c r="M80" s="40">
        <f>IF(ISNUMBER(Log[[#This Row],[Day]]),TEXT(Log[[#This Row],[Day]],"0"),Log[[#This Row],[Day]])</f>
        <v>0</v>
      </c>
      <c r="N80" s="40" t="str">
        <f>_xlfn.XLOOKUP(Log[[#This Row],[Exercise]],Exercises[Exercise],Exercises[Category],"Ukendt",0)</f>
        <v>Isolation</v>
      </c>
      <c r="O80" s="40" t="str">
        <f>_xlfn.XLOOKUP(Log[[#This Row],[Exercise]],Table5[Exercise],Table5[Primary],"Ukendt",0)</f>
        <v>Lår</v>
      </c>
    </row>
    <row r="81" spans="1:15">
      <c r="A81" s="20" t="s">
        <v>352</v>
      </c>
      <c r="B81" s="21" t="s">
        <v>46</v>
      </c>
      <c r="C81" s="15" t="s">
        <v>115</v>
      </c>
      <c r="D81" s="21"/>
      <c r="E81" s="23">
        <v>115</v>
      </c>
      <c r="F81" s="23">
        <v>115</v>
      </c>
      <c r="G81" s="23">
        <v>10</v>
      </c>
      <c r="H81" s="23">
        <v>12</v>
      </c>
      <c r="I81" s="24" t="s">
        <v>353</v>
      </c>
      <c r="J81" s="27"/>
      <c r="K81" s="23"/>
      <c r="L81" s="23" t="s">
        <v>360</v>
      </c>
      <c r="M81" s="40">
        <f>IF(ISNUMBER(Log[[#This Row],[Day]]),TEXT(Log[[#This Row],[Day]],"0"),Log[[#This Row],[Day]])</f>
        <v>0</v>
      </c>
      <c r="N81" s="40" t="str">
        <f>_xlfn.XLOOKUP(Log[[#This Row],[Exercise]],Exercises[Exercise],Exercises[Category],"Ukendt",0)</f>
        <v>Isolation</v>
      </c>
      <c r="O81" s="40" t="str">
        <f>_xlfn.XLOOKUP(Log[[#This Row],[Exercise]],Table5[Exercise],Table5[Primary],"Ukendt",0)</f>
        <v>Lår</v>
      </c>
    </row>
    <row r="82" spans="1:15">
      <c r="A82" s="20" t="s">
        <v>352</v>
      </c>
      <c r="B82" s="21" t="s">
        <v>56</v>
      </c>
      <c r="C82" s="21" t="s">
        <v>143</v>
      </c>
      <c r="D82" s="21"/>
      <c r="E82" s="23">
        <v>0</v>
      </c>
      <c r="F82" s="23">
        <v>0</v>
      </c>
      <c r="G82" s="23">
        <v>5</v>
      </c>
      <c r="H82" s="23">
        <v>6</v>
      </c>
      <c r="I82" s="24" t="s">
        <v>353</v>
      </c>
      <c r="J82" s="27"/>
      <c r="K82" s="23"/>
      <c r="L82" s="23" t="s">
        <v>361</v>
      </c>
      <c r="M82" s="40">
        <f>IF(ISNUMBER(Log[[#This Row],[Day]]),TEXT(Log[[#This Row],[Day]],"0"),Log[[#This Row],[Day]])</f>
        <v>0</v>
      </c>
      <c r="N82" s="40" t="str">
        <f>_xlfn.XLOOKUP(Log[[#This Row],[Exercise]],Exercises[Exercise],Exercises[Category],"Ukendt",0)</f>
        <v>Compound</v>
      </c>
      <c r="O82" s="40" t="str">
        <f>_xlfn.XLOOKUP(Log[[#This Row],[Exercise]],Table5[Exercise],Table5[Primary],"Ukendt",0)</f>
        <v>Ukendt</v>
      </c>
    </row>
    <row r="83" spans="1:15">
      <c r="A83" s="20" t="s">
        <v>352</v>
      </c>
      <c r="B83" s="21" t="s">
        <v>21</v>
      </c>
      <c r="C83" s="21" t="s">
        <v>157</v>
      </c>
      <c r="D83" s="21"/>
      <c r="E83" s="23" t="s">
        <v>362</v>
      </c>
      <c r="F83" s="23" t="s">
        <v>362</v>
      </c>
      <c r="G83" s="23">
        <v>3</v>
      </c>
      <c r="H83" s="23">
        <v>1</v>
      </c>
      <c r="I83" s="24" t="s">
        <v>353</v>
      </c>
      <c r="J83" s="27"/>
      <c r="K83" s="23"/>
      <c r="L83" s="23" t="s">
        <v>363</v>
      </c>
      <c r="M83" s="40">
        <f>IF(ISNUMBER(Log[[#This Row],[Day]]),TEXT(Log[[#This Row],[Day]],"0"),Log[[#This Row],[Day]])</f>
        <v>0</v>
      </c>
      <c r="N83" s="40" t="str">
        <f>_xlfn.XLOOKUP(Log[[#This Row],[Exercise]],Exercises[Exercise],Exercises[Category],"Ukendt",0)</f>
        <v>Compound</v>
      </c>
      <c r="O83" s="40" t="str">
        <f>_xlfn.XLOOKUP(Log[[#This Row],[Exercise]],Table5[Exercise],Table5[Primary],"Ukendt",0)</f>
        <v>Ukendt</v>
      </c>
    </row>
    <row r="84" spans="1:15">
      <c r="A84" s="20" t="s">
        <v>352</v>
      </c>
      <c r="B84" s="21" t="s">
        <v>46</v>
      </c>
      <c r="C84" s="21" t="s">
        <v>181</v>
      </c>
      <c r="D84" s="21"/>
      <c r="E84" s="23">
        <v>60</v>
      </c>
      <c r="F84" s="23">
        <v>60</v>
      </c>
      <c r="G84" s="23">
        <v>8</v>
      </c>
      <c r="H84" s="23">
        <v>8</v>
      </c>
      <c r="I84" s="24" t="s">
        <v>353</v>
      </c>
      <c r="J84" s="27"/>
      <c r="K84" s="23"/>
      <c r="L84" s="23" t="s">
        <v>364</v>
      </c>
      <c r="M84" s="40">
        <f>IF(ISNUMBER(Log[[#This Row],[Day]]),TEXT(Log[[#This Row],[Day]],"0"),Log[[#This Row],[Day]])</f>
        <v>0</v>
      </c>
      <c r="N84" s="40" t="str">
        <f>_xlfn.XLOOKUP(Log[[#This Row],[Exercise]],Exercises[Exercise],Exercises[Category],"Ukendt",0)</f>
        <v>Compound</v>
      </c>
      <c r="O84" s="40" t="str">
        <f>_xlfn.XLOOKUP(Log[[#This Row],[Exercise]],Table5[Exercise],Table5[Primary],"Ukendt",0)</f>
        <v>Ukendt</v>
      </c>
    </row>
    <row r="85" spans="1:15">
      <c r="A85" s="20" t="s">
        <v>352</v>
      </c>
      <c r="B85" s="21" t="s">
        <v>56</v>
      </c>
      <c r="C85" s="21" t="s">
        <v>190</v>
      </c>
      <c r="D85" s="21"/>
      <c r="E85" s="23">
        <v>40</v>
      </c>
      <c r="F85" s="23">
        <v>40</v>
      </c>
      <c r="G85" s="23">
        <v>12</v>
      </c>
      <c r="H85" s="23">
        <v>12</v>
      </c>
      <c r="I85" s="24" t="s">
        <v>353</v>
      </c>
      <c r="J85" s="27"/>
      <c r="K85" s="23"/>
      <c r="L85" s="23" t="s">
        <v>365</v>
      </c>
      <c r="M85" s="40">
        <f>IF(ISNUMBER(Log[[#This Row],[Day]]),TEXT(Log[[#This Row],[Day]],"0"),Log[[#This Row],[Day]])</f>
        <v>0</v>
      </c>
      <c r="N85" s="40" t="str">
        <f>_xlfn.XLOOKUP(Log[[#This Row],[Exercise]],Exercises[Exercise],Exercises[Category],"Ukendt",0)</f>
        <v>Isolation</v>
      </c>
      <c r="O85" s="40" t="str">
        <f>_xlfn.XLOOKUP(Log[[#This Row],[Exercise]],Table5[Exercise],Table5[Primary],"Ukendt",0)</f>
        <v>Ukendt</v>
      </c>
    </row>
    <row r="86" spans="1:15">
      <c r="A86" s="20" t="s">
        <v>366</v>
      </c>
      <c r="B86" s="21" t="s">
        <v>21</v>
      </c>
      <c r="C86" s="21" t="s">
        <v>52</v>
      </c>
      <c r="D86" s="21"/>
      <c r="E86" s="23">
        <v>80</v>
      </c>
      <c r="F86" s="23">
        <v>80</v>
      </c>
      <c r="G86" s="23">
        <v>12</v>
      </c>
      <c r="H86" s="23">
        <v>12</v>
      </c>
      <c r="I86" s="24" t="s">
        <v>367</v>
      </c>
      <c r="J86" s="27"/>
      <c r="K86" s="23"/>
      <c r="L86" s="23" t="s">
        <v>368</v>
      </c>
      <c r="M86" s="40">
        <f>IF(ISNUMBER(Log[[#This Row],[Day]]),TEXT(Log[[#This Row],[Day]],"0"),Log[[#This Row],[Day]])</f>
        <v>0</v>
      </c>
      <c r="N86" s="40" t="str">
        <f>_xlfn.XLOOKUP(Log[[#This Row],[Exercise]],Exercises[Exercise],Exercises[Category],"Ukendt",0)</f>
        <v>Core</v>
      </c>
      <c r="O86" s="40" t="str">
        <f>_xlfn.XLOOKUP(Log[[#This Row],[Exercise]],Table5[Exercise],Table5[Primary],"Ukendt",0)</f>
        <v>Mave</v>
      </c>
    </row>
    <row r="87" spans="1:15">
      <c r="A87" s="20" t="s">
        <v>366</v>
      </c>
      <c r="B87" s="21" t="s">
        <v>56</v>
      </c>
      <c r="C87" s="21" t="s">
        <v>59</v>
      </c>
      <c r="D87" s="21"/>
      <c r="E87" s="23">
        <v>40</v>
      </c>
      <c r="F87" s="23">
        <v>40</v>
      </c>
      <c r="G87" s="23">
        <v>12</v>
      </c>
      <c r="H87" s="23">
        <v>12</v>
      </c>
      <c r="I87" s="24" t="s">
        <v>367</v>
      </c>
      <c r="J87" s="27"/>
      <c r="K87" s="23"/>
      <c r="L87" s="23" t="s">
        <v>369</v>
      </c>
      <c r="M87" s="40">
        <f>IF(ISNUMBER(Log[[#This Row],[Day]]),TEXT(Log[[#This Row],[Day]],"0"),Log[[#This Row],[Day]])</f>
        <v>0</v>
      </c>
      <c r="N87" s="40" t="str">
        <f>_xlfn.XLOOKUP(Log[[#This Row],[Exercise]],Exercises[Exercise],Exercises[Category],"Ukendt",0)</f>
        <v>Stabilization</v>
      </c>
      <c r="O87" s="40" t="str">
        <f>_xlfn.XLOOKUP(Log[[#This Row],[Exercise]],Table5[Exercise],Table5[Primary],"Ukendt",0)</f>
        <v>Rotatormanchet</v>
      </c>
    </row>
    <row r="88" spans="1:15">
      <c r="A88" s="20" t="s">
        <v>366</v>
      </c>
      <c r="B88" s="21" t="s">
        <v>56</v>
      </c>
      <c r="C88" s="21" t="s">
        <v>63</v>
      </c>
      <c r="D88" s="21"/>
      <c r="E88" s="23">
        <v>30</v>
      </c>
      <c r="F88" s="23">
        <v>30</v>
      </c>
      <c r="G88" s="23">
        <v>6</v>
      </c>
      <c r="H88" s="23">
        <v>12</v>
      </c>
      <c r="I88" s="24" t="s">
        <v>367</v>
      </c>
      <c r="J88" s="27"/>
      <c r="K88" s="23"/>
      <c r="L88" s="23" t="s">
        <v>370</v>
      </c>
      <c r="M88" s="40">
        <f>IF(ISNUMBER(Log[[#This Row],[Day]]),TEXT(Log[[#This Row],[Day]],"0"),Log[[#This Row],[Day]])</f>
        <v>0</v>
      </c>
      <c r="N88" s="40" t="str">
        <f>_xlfn.XLOOKUP(Log[[#This Row],[Exercise]],Exercises[Exercise],Exercises[Category],"Ukendt",0)</f>
        <v>Stabilization</v>
      </c>
      <c r="O88" s="40" t="str">
        <f>_xlfn.XLOOKUP(Log[[#This Row],[Exercise]],Table5[Exercise],Table5[Primary],"Ukendt",0)</f>
        <v>Rotatormanchet</v>
      </c>
    </row>
    <row r="89" spans="1:15">
      <c r="A89" s="20" t="s">
        <v>366</v>
      </c>
      <c r="B89" s="21" t="s">
        <v>21</v>
      </c>
      <c r="C89" s="21" t="s">
        <v>88</v>
      </c>
      <c r="D89" s="21"/>
      <c r="E89" s="23">
        <v>30</v>
      </c>
      <c r="F89" s="23">
        <v>30</v>
      </c>
      <c r="G89" s="23">
        <v>3</v>
      </c>
      <c r="H89" s="23">
        <v>3</v>
      </c>
      <c r="I89" s="24" t="s">
        <v>367</v>
      </c>
      <c r="J89" s="27"/>
      <c r="K89" s="23"/>
      <c r="L89" s="23" t="s">
        <v>371</v>
      </c>
      <c r="M89" s="40">
        <f>IF(ISNUMBER(Log[[#This Row],[Day]]),TEXT(Log[[#This Row],[Day]],"0"),Log[[#This Row],[Day]])</f>
        <v>0</v>
      </c>
      <c r="N89" s="40" t="str">
        <f>_xlfn.XLOOKUP(Log[[#This Row],[Exercise]],Exercises[Exercise],Exercises[Category],"Ukendt",0)</f>
        <v>Stabilization</v>
      </c>
      <c r="O89" s="40" t="str">
        <f>_xlfn.XLOOKUP(Log[[#This Row],[Exercise]],Table5[Exercise],Table5[Primary],"Ukendt",0)</f>
        <v>Core</v>
      </c>
    </row>
    <row r="90" spans="1:15">
      <c r="A90" s="20" t="s">
        <v>366</v>
      </c>
      <c r="B90" s="21" t="s">
        <v>30</v>
      </c>
      <c r="C90" s="21" t="s">
        <v>102</v>
      </c>
      <c r="D90" s="21"/>
      <c r="E90" s="23">
        <v>30</v>
      </c>
      <c r="F90" s="23">
        <v>30</v>
      </c>
      <c r="G90" s="17">
        <v>12</v>
      </c>
      <c r="H90" s="17">
        <v>12</v>
      </c>
      <c r="I90" s="24" t="s">
        <v>367</v>
      </c>
      <c r="J90" s="28"/>
      <c r="K90" s="17"/>
      <c r="L90" s="23" t="s">
        <v>372</v>
      </c>
      <c r="M90" s="40">
        <f>IF(ISNUMBER(Log[[#This Row],[Day]]),TEXT(Log[[#This Row],[Day]],"0"),Log[[#This Row],[Day]])</f>
        <v>0</v>
      </c>
      <c r="N90" s="40" t="str">
        <f>_xlfn.XLOOKUP(Log[[#This Row],[Exercise]],Exercises[Exercise],Exercises[Category],"Ukendt",0)</f>
        <v>Compound</v>
      </c>
      <c r="O90" s="40" t="str">
        <f>_xlfn.XLOOKUP(Log[[#This Row],[Exercise]],Table5[Exercise],Table5[Primary],"Ukendt",0)</f>
        <v>Bryst</v>
      </c>
    </row>
    <row r="91" spans="1:15">
      <c r="A91" s="20" t="s">
        <v>366</v>
      </c>
      <c r="B91" s="21" t="s">
        <v>30</v>
      </c>
      <c r="C91" s="21" t="s">
        <v>102</v>
      </c>
      <c r="D91" s="21"/>
      <c r="E91" s="23">
        <v>30</v>
      </c>
      <c r="F91" s="23">
        <v>30</v>
      </c>
      <c r="G91" s="17">
        <v>12</v>
      </c>
      <c r="H91" s="17">
        <v>12</v>
      </c>
      <c r="I91" s="24" t="s">
        <v>367</v>
      </c>
      <c r="J91" s="28"/>
      <c r="K91" s="17"/>
      <c r="L91" s="23" t="s">
        <v>373</v>
      </c>
      <c r="M91" s="40">
        <f>IF(ISNUMBER(Log[[#This Row],[Day]]),TEXT(Log[[#This Row],[Day]],"0"),Log[[#This Row],[Day]])</f>
        <v>0</v>
      </c>
      <c r="N91" s="40" t="str">
        <f>_xlfn.XLOOKUP(Log[[#This Row],[Exercise]],Exercises[Exercise],Exercises[Category],"Ukendt",0)</f>
        <v>Compound</v>
      </c>
      <c r="O91" s="40" t="str">
        <f>_xlfn.XLOOKUP(Log[[#This Row],[Exercise]],Table5[Exercise],Table5[Primary],"Ukendt",0)</f>
        <v>Bryst</v>
      </c>
    </row>
    <row r="92" spans="1:15">
      <c r="A92" s="20" t="s">
        <v>366</v>
      </c>
      <c r="B92" s="21" t="s">
        <v>30</v>
      </c>
      <c r="C92" s="21" t="s">
        <v>102</v>
      </c>
      <c r="D92" s="21"/>
      <c r="E92" s="23">
        <v>30</v>
      </c>
      <c r="F92" s="23">
        <v>30</v>
      </c>
      <c r="G92" s="17">
        <v>12</v>
      </c>
      <c r="H92" s="23">
        <v>12</v>
      </c>
      <c r="I92" s="24" t="s">
        <v>367</v>
      </c>
      <c r="J92" s="27"/>
      <c r="K92" s="23"/>
      <c r="L92" s="23" t="s">
        <v>374</v>
      </c>
      <c r="M92" s="40">
        <f>IF(ISNUMBER(Log[[#This Row],[Day]]),TEXT(Log[[#This Row],[Day]],"0"),Log[[#This Row],[Day]])</f>
        <v>0</v>
      </c>
      <c r="N92" s="40" t="str">
        <f>_xlfn.XLOOKUP(Log[[#This Row],[Exercise]],Exercises[Exercise],Exercises[Category],"Ukendt",0)</f>
        <v>Compound</v>
      </c>
      <c r="O92" s="40" t="str">
        <f>_xlfn.XLOOKUP(Log[[#This Row],[Exercise]],Table5[Exercise],Table5[Primary],"Ukendt",0)</f>
        <v>Bryst</v>
      </c>
    </row>
    <row r="93" spans="1:15">
      <c r="A93" s="20" t="s">
        <v>366</v>
      </c>
      <c r="B93" s="21" t="s">
        <v>56</v>
      </c>
      <c r="C93" s="21" t="s">
        <v>143</v>
      </c>
      <c r="D93" s="21"/>
      <c r="E93" s="23">
        <v>0</v>
      </c>
      <c r="F93" s="23">
        <v>0</v>
      </c>
      <c r="G93" s="23">
        <v>6</v>
      </c>
      <c r="H93" s="23">
        <v>8</v>
      </c>
      <c r="I93" s="24" t="s">
        <v>367</v>
      </c>
      <c r="J93" s="27"/>
      <c r="K93" s="23"/>
      <c r="L93" s="23" t="s">
        <v>375</v>
      </c>
      <c r="M93" s="40">
        <f>IF(ISNUMBER(Log[[#This Row],[Day]]),TEXT(Log[[#This Row],[Day]],"0"),Log[[#This Row],[Day]])</f>
        <v>0</v>
      </c>
      <c r="N93" s="40" t="str">
        <f>_xlfn.XLOOKUP(Log[[#This Row],[Exercise]],Exercises[Exercise],Exercises[Category],"Ukendt",0)</f>
        <v>Compound</v>
      </c>
      <c r="O93" s="40" t="str">
        <f>_xlfn.XLOOKUP(Log[[#This Row],[Exercise]],Table5[Exercise],Table5[Primary],"Ukendt",0)</f>
        <v>Ukendt</v>
      </c>
    </row>
    <row r="94" spans="1:15">
      <c r="A94" s="20" t="s">
        <v>366</v>
      </c>
      <c r="B94" s="21" t="s">
        <v>56</v>
      </c>
      <c r="C94" s="21" t="s">
        <v>153</v>
      </c>
      <c r="D94" s="21"/>
      <c r="E94" s="23">
        <v>60</v>
      </c>
      <c r="F94" s="23">
        <v>60</v>
      </c>
      <c r="G94" s="23">
        <v>12</v>
      </c>
      <c r="H94" s="23">
        <v>12</v>
      </c>
      <c r="I94" s="24" t="s">
        <v>367</v>
      </c>
      <c r="J94" s="27"/>
      <c r="K94" s="23"/>
      <c r="L94" s="23" t="s">
        <v>376</v>
      </c>
      <c r="M94" s="40">
        <f>IF(ISNUMBER(Log[[#This Row],[Day]]),TEXT(Log[[#This Row],[Day]],"0"),Log[[#This Row],[Day]])</f>
        <v>0</v>
      </c>
      <c r="N94" s="40" t="str">
        <f>_xlfn.XLOOKUP(Log[[#This Row],[Exercise]],Exercises[Exercise],Exercises[Category],"Ukendt",0)</f>
        <v>Stabilization</v>
      </c>
      <c r="O94" s="40" t="str">
        <f>_xlfn.XLOOKUP(Log[[#This Row],[Exercise]],Table5[Exercise],Table5[Primary],"Ukendt",0)</f>
        <v>Ukendt</v>
      </c>
    </row>
    <row r="95" spans="1:15">
      <c r="A95" s="20" t="s">
        <v>366</v>
      </c>
      <c r="B95" s="21" t="s">
        <v>30</v>
      </c>
      <c r="C95" s="21" t="s">
        <v>164</v>
      </c>
      <c r="D95" s="21"/>
      <c r="E95" s="23">
        <v>30</v>
      </c>
      <c r="F95" s="23">
        <v>30</v>
      </c>
      <c r="G95" s="23">
        <v>10</v>
      </c>
      <c r="H95" s="23">
        <v>12</v>
      </c>
      <c r="I95" s="24" t="s">
        <v>367</v>
      </c>
      <c r="J95" s="27"/>
      <c r="K95" s="23"/>
      <c r="L95" s="23" t="s">
        <v>377</v>
      </c>
      <c r="M95" s="40">
        <f>IF(ISNUMBER(Log[[#This Row],[Day]]),TEXT(Log[[#This Row],[Day]],"0"),Log[[#This Row],[Day]])</f>
        <v>0</v>
      </c>
      <c r="N95" s="40" t="str">
        <f>_xlfn.XLOOKUP(Log[[#This Row],[Exercise]],Exercises[Exercise],Exercises[Category],"Ukendt",0)</f>
        <v>Compound</v>
      </c>
      <c r="O95" s="40" t="str">
        <f>_xlfn.XLOOKUP(Log[[#This Row],[Exercise]],Table5[Exercise],Table5[Primary],"Ukendt",0)</f>
        <v>Ukendt</v>
      </c>
    </row>
    <row r="96" spans="1:15">
      <c r="A96" s="20" t="s">
        <v>366</v>
      </c>
      <c r="B96" s="21" t="s">
        <v>56</v>
      </c>
      <c r="C96" s="21" t="s">
        <v>190</v>
      </c>
      <c r="D96" s="21"/>
      <c r="E96" s="23">
        <v>40</v>
      </c>
      <c r="F96" s="23">
        <v>40</v>
      </c>
      <c r="G96" s="23">
        <v>12</v>
      </c>
      <c r="H96" s="23">
        <v>12</v>
      </c>
      <c r="I96" s="24" t="s">
        <v>367</v>
      </c>
      <c r="J96" s="27"/>
      <c r="K96" s="23"/>
      <c r="L96" s="23" t="s">
        <v>378</v>
      </c>
      <c r="M96" s="40">
        <f>IF(ISNUMBER(Log[[#This Row],[Day]]),TEXT(Log[[#This Row],[Day]],"0"),Log[[#This Row],[Day]])</f>
        <v>0</v>
      </c>
      <c r="N96" s="40" t="str">
        <f>_xlfn.XLOOKUP(Log[[#This Row],[Exercise]],Exercises[Exercise],Exercises[Category],"Ukendt",0)</f>
        <v>Isolation</v>
      </c>
      <c r="O96" s="40" t="str">
        <f>_xlfn.XLOOKUP(Log[[#This Row],[Exercise]],Table5[Exercise],Table5[Primary],"Ukendt",0)</f>
        <v>Ukendt</v>
      </c>
    </row>
    <row r="97" spans="1:15">
      <c r="A97" s="20" t="s">
        <v>366</v>
      </c>
      <c r="B97" s="21" t="s">
        <v>30</v>
      </c>
      <c r="C97" s="21" t="s">
        <v>201</v>
      </c>
      <c r="D97" s="21"/>
      <c r="E97" s="23">
        <v>40</v>
      </c>
      <c r="F97" s="23">
        <v>40</v>
      </c>
      <c r="G97" s="17">
        <v>12</v>
      </c>
      <c r="H97" s="23">
        <v>12</v>
      </c>
      <c r="I97" s="24" t="s">
        <v>367</v>
      </c>
      <c r="J97" s="27"/>
      <c r="K97" s="23"/>
      <c r="L97" s="23" t="s">
        <v>379</v>
      </c>
      <c r="M97" s="40">
        <f>IF(ISNUMBER(Log[[#This Row],[Day]]),TEXT(Log[[#This Row],[Day]],"0"),Log[[#This Row],[Day]])</f>
        <v>0</v>
      </c>
      <c r="N97" s="40" t="str">
        <f>_xlfn.XLOOKUP(Log[[#This Row],[Exercise]],Exercises[Exercise],Exercises[Category],"Ukendt",0)</f>
        <v>Isolation</v>
      </c>
      <c r="O97" s="40" t="str">
        <f>_xlfn.XLOOKUP(Log[[#This Row],[Exercise]],Table5[Exercise],Table5[Primary],"Ukendt",0)</f>
        <v>Ukendt</v>
      </c>
    </row>
    <row r="98" spans="1:15">
      <c r="A98" s="20" t="s">
        <v>380</v>
      </c>
      <c r="B98" s="21" t="s">
        <v>46</v>
      </c>
      <c r="C98" s="21" t="s">
        <v>48</v>
      </c>
      <c r="D98" s="21"/>
      <c r="E98" s="23">
        <v>0</v>
      </c>
      <c r="F98" s="23">
        <v>0</v>
      </c>
      <c r="G98" s="23">
        <v>8</v>
      </c>
      <c r="H98" s="23">
        <v>12</v>
      </c>
      <c r="I98" s="24" t="s">
        <v>381</v>
      </c>
      <c r="J98" s="27"/>
      <c r="K98" s="23"/>
      <c r="L98" s="23" t="s">
        <v>382</v>
      </c>
      <c r="M98" s="40">
        <f>IF(ISNUMBER(Log[[#This Row],[Day]]),TEXT(Log[[#This Row],[Day]],"0"),Log[[#This Row],[Day]])</f>
        <v>0</v>
      </c>
      <c r="N98" s="40" t="str">
        <f>_xlfn.XLOOKUP(Log[[#This Row],[Exercise]],Exercises[Exercise],Exercises[Category],"Ukendt",0)</f>
        <v>Compound</v>
      </c>
      <c r="O98" s="40" t="str">
        <f>_xlfn.XLOOKUP(Log[[#This Row],[Exercise]],Table5[Exercise],Table5[Primary],"Ukendt",0)</f>
        <v>Lår</v>
      </c>
    </row>
    <row r="99" spans="1:15">
      <c r="A99" s="20" t="s">
        <v>380</v>
      </c>
      <c r="B99" s="21" t="s">
        <v>46</v>
      </c>
      <c r="C99" s="21" t="s">
        <v>79</v>
      </c>
      <c r="D99" s="21"/>
      <c r="E99" s="23">
        <v>20</v>
      </c>
      <c r="F99" s="23">
        <v>20</v>
      </c>
      <c r="G99" s="23">
        <v>20</v>
      </c>
      <c r="H99" s="23">
        <v>20</v>
      </c>
      <c r="I99" s="24" t="s">
        <v>381</v>
      </c>
      <c r="J99" s="27"/>
      <c r="K99" s="23"/>
      <c r="L99" s="23" t="s">
        <v>383</v>
      </c>
      <c r="M99" s="40">
        <f>IF(ISNUMBER(Log[[#This Row],[Day]]),TEXT(Log[[#This Row],[Day]],"0"),Log[[#This Row],[Day]])</f>
        <v>0</v>
      </c>
      <c r="N99" s="40" t="str">
        <f>_xlfn.XLOOKUP(Log[[#This Row],[Exercise]],Exercises[Exercise],Exercises[Category],"Ukendt",0)</f>
        <v>Compound</v>
      </c>
      <c r="O99" s="40" t="str">
        <f>_xlfn.XLOOKUP(Log[[#This Row],[Exercise]],Table5[Exercise],Table5[Primary],"Ukendt",0)</f>
        <v>Lår</v>
      </c>
    </row>
    <row r="100" spans="1:15">
      <c r="A100" s="20" t="s">
        <v>380</v>
      </c>
      <c r="B100" s="21" t="s">
        <v>21</v>
      </c>
      <c r="C100" s="21" t="s">
        <v>88</v>
      </c>
      <c r="D100" s="21"/>
      <c r="E100" s="23">
        <v>35</v>
      </c>
      <c r="F100" s="23">
        <v>35</v>
      </c>
      <c r="G100" s="23">
        <v>3</v>
      </c>
      <c r="H100" s="23">
        <v>3</v>
      </c>
      <c r="I100" s="24" t="s">
        <v>381</v>
      </c>
      <c r="J100" s="27"/>
      <c r="K100" s="23"/>
      <c r="L100" s="23" t="s">
        <v>384</v>
      </c>
      <c r="M100" s="40">
        <f>IF(ISNUMBER(Log[[#This Row],[Day]]),TEXT(Log[[#This Row],[Day]],"0"),Log[[#This Row],[Day]])</f>
        <v>0</v>
      </c>
      <c r="N100" s="40" t="str">
        <f>_xlfn.XLOOKUP(Log[[#This Row],[Exercise]],Exercises[Exercise],Exercises[Category],"Ukendt",0)</f>
        <v>Stabilization</v>
      </c>
      <c r="O100" s="40" t="str">
        <f>_xlfn.XLOOKUP(Log[[#This Row],[Exercise]],Table5[Exercise],Table5[Primary],"Ukendt",0)</f>
        <v>Core</v>
      </c>
    </row>
    <row r="101" spans="1:15">
      <c r="A101" s="20" t="s">
        <v>380</v>
      </c>
      <c r="B101" s="21" t="s">
        <v>46</v>
      </c>
      <c r="C101" s="21" t="s">
        <v>115</v>
      </c>
      <c r="D101" s="21"/>
      <c r="E101" s="23">
        <v>115</v>
      </c>
      <c r="F101" s="23">
        <v>115</v>
      </c>
      <c r="G101" s="23">
        <v>12</v>
      </c>
      <c r="H101" s="23">
        <v>12</v>
      </c>
      <c r="I101" s="24" t="s">
        <v>381</v>
      </c>
      <c r="J101" s="27"/>
      <c r="K101" s="23"/>
      <c r="L101" s="23" t="s">
        <v>385</v>
      </c>
      <c r="M101" s="40">
        <f>IF(ISNUMBER(Log[[#This Row],[Day]]),TEXT(Log[[#This Row],[Day]],"0"),Log[[#This Row],[Day]])</f>
        <v>0</v>
      </c>
      <c r="N101" s="40" t="str">
        <f>_xlfn.XLOOKUP(Log[[#This Row],[Exercise]],Exercises[Exercise],Exercises[Category],"Ukendt",0)</f>
        <v>Isolation</v>
      </c>
      <c r="O101" s="40" t="str">
        <f>_xlfn.XLOOKUP(Log[[#This Row],[Exercise]],Table5[Exercise],Table5[Primary],"Ukendt",0)</f>
        <v>Lår</v>
      </c>
    </row>
    <row r="102" spans="1:15">
      <c r="A102" s="20" t="s">
        <v>380</v>
      </c>
      <c r="B102" s="21" t="s">
        <v>56</v>
      </c>
      <c r="C102" s="21" t="s">
        <v>131</v>
      </c>
      <c r="D102" s="21"/>
      <c r="E102" s="23">
        <v>80</v>
      </c>
      <c r="F102" s="23">
        <v>80</v>
      </c>
      <c r="G102" s="23">
        <v>12</v>
      </c>
      <c r="H102" s="23">
        <v>12</v>
      </c>
      <c r="I102" s="24" t="s">
        <v>381</v>
      </c>
      <c r="J102" s="27"/>
      <c r="K102" s="23"/>
      <c r="L102" s="23" t="s">
        <v>386</v>
      </c>
      <c r="M102" s="40">
        <f>IF(ISNUMBER(Log[[#This Row],[Day]]),TEXT(Log[[#This Row],[Day]],"0"),Log[[#This Row],[Day]])</f>
        <v>0</v>
      </c>
      <c r="N102" s="40" t="str">
        <f>_xlfn.XLOOKUP(Log[[#This Row],[Exercise]],Exercises[Exercise],Exercises[Category],"Ukendt",0)</f>
        <v>Isolation</v>
      </c>
      <c r="O102" s="40" t="str">
        <f>_xlfn.XLOOKUP(Log[[#This Row],[Exercise]],Table5[Exercise],Table5[Primary],"Ukendt",0)</f>
        <v>Ukendt</v>
      </c>
    </row>
    <row r="103" spans="1:15">
      <c r="A103" s="20" t="s">
        <v>380</v>
      </c>
      <c r="B103" s="21" t="s">
        <v>21</v>
      </c>
      <c r="C103" s="21" t="s">
        <v>157</v>
      </c>
      <c r="D103" s="21"/>
      <c r="E103" s="23"/>
      <c r="F103" s="23"/>
      <c r="G103" s="23">
        <v>3</v>
      </c>
      <c r="H103" s="23">
        <v>3</v>
      </c>
      <c r="I103" s="24" t="s">
        <v>381</v>
      </c>
      <c r="J103" s="27"/>
      <c r="K103" s="23"/>
      <c r="L103" s="23" t="s">
        <v>387</v>
      </c>
      <c r="M103" s="40">
        <f>IF(ISNUMBER(Log[[#This Row],[Day]]),TEXT(Log[[#This Row],[Day]],"0"),Log[[#This Row],[Day]])</f>
        <v>0</v>
      </c>
      <c r="N103" s="40" t="str">
        <f>_xlfn.XLOOKUP(Log[[#This Row],[Exercise]],Exercises[Exercise],Exercises[Category],"Ukendt",0)</f>
        <v>Compound</v>
      </c>
      <c r="O103" s="40" t="str">
        <f>_xlfn.XLOOKUP(Log[[#This Row],[Exercise]],Table5[Exercise],Table5[Primary],"Ukendt",0)</f>
        <v>Ukendt</v>
      </c>
    </row>
    <row r="104" spans="1:15">
      <c r="A104" s="20" t="s">
        <v>380</v>
      </c>
      <c r="B104" s="21" t="s">
        <v>46</v>
      </c>
      <c r="C104" s="21" t="s">
        <v>181</v>
      </c>
      <c r="D104" s="21"/>
      <c r="E104" s="23">
        <v>60</v>
      </c>
      <c r="F104" s="23">
        <v>60</v>
      </c>
      <c r="G104" s="23">
        <v>8</v>
      </c>
      <c r="H104" s="23">
        <v>10</v>
      </c>
      <c r="I104" s="24" t="s">
        <v>381</v>
      </c>
      <c r="J104" s="27"/>
      <c r="K104" s="23"/>
      <c r="L104" s="23" t="s">
        <v>388</v>
      </c>
      <c r="M104" s="40">
        <f>IF(ISNUMBER(Log[[#This Row],[Day]]),TEXT(Log[[#This Row],[Day]],"0"),Log[[#This Row],[Day]])</f>
        <v>0</v>
      </c>
      <c r="N104" s="40" t="str">
        <f>_xlfn.XLOOKUP(Log[[#This Row],[Exercise]],Exercises[Exercise],Exercises[Category],"Ukendt",0)</f>
        <v>Compound</v>
      </c>
      <c r="O104" s="40" t="str">
        <f>_xlfn.XLOOKUP(Log[[#This Row],[Exercise]],Table5[Exercise],Table5[Primary],"Ukendt",0)</f>
        <v>Ukendt</v>
      </c>
    </row>
    <row r="105" spans="1:15">
      <c r="A105" s="20" t="s">
        <v>389</v>
      </c>
      <c r="B105" s="21" t="s">
        <v>21</v>
      </c>
      <c r="C105" s="21" t="s">
        <v>52</v>
      </c>
      <c r="D105" s="21">
        <v>1</v>
      </c>
      <c r="E105" s="23">
        <v>80</v>
      </c>
      <c r="F105" s="23">
        <v>80</v>
      </c>
      <c r="G105" s="23">
        <v>12</v>
      </c>
      <c r="H105" s="23">
        <v>12</v>
      </c>
      <c r="I105" s="24" t="s">
        <v>390</v>
      </c>
      <c r="J105" s="27"/>
      <c r="K105" s="23"/>
      <c r="L105" s="23" t="s">
        <v>391</v>
      </c>
      <c r="M105" s="40" t="str">
        <f>IF(ISNUMBER(Log[[#This Row],[Day]]),TEXT(Log[[#This Row],[Day]],"0"),Log[[#This Row],[Day]])</f>
        <v>1</v>
      </c>
      <c r="N105" s="40" t="str">
        <f>_xlfn.XLOOKUP(Log[[#This Row],[Exercise]],Exercises[Exercise],Exercises[Category],"Ukendt",0)</f>
        <v>Core</v>
      </c>
      <c r="O105" s="40" t="str">
        <f>_xlfn.XLOOKUP(Log[[#This Row],[Exercise]],Table5[Exercise],Table5[Primary],"Ukendt",0)</f>
        <v>Mave</v>
      </c>
    </row>
    <row r="106" spans="1:15">
      <c r="A106" s="20" t="s">
        <v>389</v>
      </c>
      <c r="B106" s="21" t="s">
        <v>56</v>
      </c>
      <c r="C106" s="21" t="s">
        <v>59</v>
      </c>
      <c r="D106" s="21">
        <v>1</v>
      </c>
      <c r="E106" s="23">
        <v>40</v>
      </c>
      <c r="F106" s="23">
        <v>40</v>
      </c>
      <c r="G106" s="23">
        <v>12</v>
      </c>
      <c r="H106" s="23">
        <v>12</v>
      </c>
      <c r="I106" s="24" t="s">
        <v>390</v>
      </c>
      <c r="J106" s="27"/>
      <c r="K106" s="23"/>
      <c r="L106" s="23" t="s">
        <v>392</v>
      </c>
      <c r="M106" s="40" t="str">
        <f>IF(ISNUMBER(Log[[#This Row],[Day]]),TEXT(Log[[#This Row],[Day]],"0"),Log[[#This Row],[Day]])</f>
        <v>1</v>
      </c>
      <c r="N106" s="40" t="str">
        <f>_xlfn.XLOOKUP(Log[[#This Row],[Exercise]],Exercises[Exercise],Exercises[Category],"Ukendt",0)</f>
        <v>Stabilization</v>
      </c>
      <c r="O106" s="40" t="str">
        <f>_xlfn.XLOOKUP(Log[[#This Row],[Exercise]],Table5[Exercise],Table5[Primary],"Ukendt",0)</f>
        <v>Rotatormanchet</v>
      </c>
    </row>
    <row r="107" spans="1:15">
      <c r="A107" s="20" t="s">
        <v>389</v>
      </c>
      <c r="B107" s="21" t="s">
        <v>56</v>
      </c>
      <c r="C107" s="21" t="s">
        <v>63</v>
      </c>
      <c r="D107" s="21">
        <v>1</v>
      </c>
      <c r="E107" s="23">
        <v>30</v>
      </c>
      <c r="F107" s="23">
        <v>30</v>
      </c>
      <c r="G107" s="23">
        <v>12</v>
      </c>
      <c r="H107" s="23">
        <v>12</v>
      </c>
      <c r="I107" s="24" t="s">
        <v>390</v>
      </c>
      <c r="J107" s="27"/>
      <c r="K107" s="23"/>
      <c r="L107" s="23" t="s">
        <v>393</v>
      </c>
      <c r="M107" s="40" t="str">
        <f>IF(ISNUMBER(Log[[#This Row],[Day]]),TEXT(Log[[#This Row],[Day]],"0"),Log[[#This Row],[Day]])</f>
        <v>1</v>
      </c>
      <c r="N107" s="40" t="str">
        <f>_xlfn.XLOOKUP(Log[[#This Row],[Exercise]],Exercises[Exercise],Exercises[Category],"Ukendt",0)</f>
        <v>Stabilization</v>
      </c>
      <c r="O107" s="40" t="str">
        <f>_xlfn.XLOOKUP(Log[[#This Row],[Exercise]],Table5[Exercise],Table5[Primary],"Ukendt",0)</f>
        <v>Rotatormanchet</v>
      </c>
    </row>
    <row r="108" spans="1:15">
      <c r="A108" s="20" t="s">
        <v>389</v>
      </c>
      <c r="B108" s="21" t="s">
        <v>56</v>
      </c>
      <c r="C108" s="21" t="s">
        <v>92</v>
      </c>
      <c r="D108" s="21">
        <v>1</v>
      </c>
      <c r="E108" s="23">
        <v>15</v>
      </c>
      <c r="F108" s="23">
        <v>15</v>
      </c>
      <c r="G108" s="23">
        <v>10</v>
      </c>
      <c r="H108" s="23">
        <v>10</v>
      </c>
      <c r="I108" s="24" t="s">
        <v>390</v>
      </c>
      <c r="J108" s="27"/>
      <c r="K108" s="23"/>
      <c r="L108" s="23" t="s">
        <v>394</v>
      </c>
      <c r="M108" s="40" t="str">
        <f>IF(ISNUMBER(Log[[#This Row],[Day]]),TEXT(Log[[#This Row],[Day]],"0"),Log[[#This Row],[Day]])</f>
        <v>1</v>
      </c>
      <c r="N108" s="40" t="str">
        <f>_xlfn.XLOOKUP(Log[[#This Row],[Exercise]],Exercises[Exercise],Exercises[Category],"Ukendt",0)</f>
        <v>Isolation</v>
      </c>
      <c r="O108" s="40" t="str">
        <f>_xlfn.XLOOKUP(Log[[#This Row],[Exercise]],Table5[Exercise],Table5[Primary],"Ukendt",0)</f>
        <v>Biceps</v>
      </c>
    </row>
    <row r="109" spans="1:15">
      <c r="A109" s="20" t="s">
        <v>389</v>
      </c>
      <c r="B109" s="21" t="s">
        <v>56</v>
      </c>
      <c r="C109" s="21" t="s">
        <v>143</v>
      </c>
      <c r="D109" s="21">
        <v>1</v>
      </c>
      <c r="E109" s="23">
        <v>0</v>
      </c>
      <c r="F109" s="23">
        <v>0</v>
      </c>
      <c r="G109" s="23">
        <v>8</v>
      </c>
      <c r="H109" s="23">
        <v>8</v>
      </c>
      <c r="I109" s="24" t="s">
        <v>390</v>
      </c>
      <c r="J109" s="27"/>
      <c r="K109" s="23"/>
      <c r="L109" s="23" t="s">
        <v>395</v>
      </c>
      <c r="M109" s="40" t="str">
        <f>IF(ISNUMBER(Log[[#This Row],[Day]]),TEXT(Log[[#This Row],[Day]],"0"),Log[[#This Row],[Day]])</f>
        <v>1</v>
      </c>
      <c r="N109" s="40" t="str">
        <f>_xlfn.XLOOKUP(Log[[#This Row],[Exercise]],Exercises[Exercise],Exercises[Category],"Ukendt",0)</f>
        <v>Compound</v>
      </c>
      <c r="O109" s="40" t="str">
        <f>_xlfn.XLOOKUP(Log[[#This Row],[Exercise]],Table5[Exercise],Table5[Primary],"Ukendt",0)</f>
        <v>Ukendt</v>
      </c>
    </row>
    <row r="110" spans="1:15">
      <c r="A110" s="20" t="s">
        <v>389</v>
      </c>
      <c r="B110" s="21" t="s">
        <v>56</v>
      </c>
      <c r="C110" s="21" t="s">
        <v>153</v>
      </c>
      <c r="D110" s="21">
        <v>1</v>
      </c>
      <c r="E110" s="23">
        <v>60</v>
      </c>
      <c r="F110" s="23">
        <v>60</v>
      </c>
      <c r="G110" s="23">
        <v>12</v>
      </c>
      <c r="H110" s="23">
        <v>12</v>
      </c>
      <c r="I110" s="24" t="s">
        <v>390</v>
      </c>
      <c r="J110" s="27"/>
      <c r="K110" s="23"/>
      <c r="L110" s="23" t="s">
        <v>396</v>
      </c>
      <c r="M110" s="40" t="str">
        <f>IF(ISNUMBER(Log[[#This Row],[Day]]),TEXT(Log[[#This Row],[Day]],"0"),Log[[#This Row],[Day]])</f>
        <v>1</v>
      </c>
      <c r="N110" s="40" t="str">
        <f>_xlfn.XLOOKUP(Log[[#This Row],[Exercise]],Exercises[Exercise],Exercises[Category],"Ukendt",0)</f>
        <v>Stabilization</v>
      </c>
      <c r="O110" s="40" t="str">
        <f>_xlfn.XLOOKUP(Log[[#This Row],[Exercise]],Table5[Exercise],Table5[Primary],"Ukendt",0)</f>
        <v>Ukendt</v>
      </c>
    </row>
    <row r="111" spans="1:15">
      <c r="A111" s="20" t="s">
        <v>389</v>
      </c>
      <c r="B111" s="21" t="s">
        <v>21</v>
      </c>
      <c r="C111" s="21" t="s">
        <v>157</v>
      </c>
      <c r="D111" s="21">
        <v>1</v>
      </c>
      <c r="E111" s="23" t="s">
        <v>362</v>
      </c>
      <c r="F111" s="23"/>
      <c r="G111" s="23">
        <v>3</v>
      </c>
      <c r="H111" s="23">
        <v>3</v>
      </c>
      <c r="I111" s="24" t="s">
        <v>390</v>
      </c>
      <c r="J111" s="27"/>
      <c r="K111" s="23"/>
      <c r="L111" s="23" t="s">
        <v>397</v>
      </c>
      <c r="M111" s="40" t="str">
        <f>IF(ISNUMBER(Log[[#This Row],[Day]]),TEXT(Log[[#This Row],[Day]],"0"),Log[[#This Row],[Day]])</f>
        <v>1</v>
      </c>
      <c r="N111" s="40" t="str">
        <f>_xlfn.XLOOKUP(Log[[#This Row],[Exercise]],Exercises[Exercise],Exercises[Category],"Ukendt",0)</f>
        <v>Compound</v>
      </c>
      <c r="O111" s="40" t="str">
        <f>_xlfn.XLOOKUP(Log[[#This Row],[Exercise]],Table5[Exercise],Table5[Primary],"Ukendt",0)</f>
        <v>Ukendt</v>
      </c>
    </row>
    <row r="112" spans="1:15">
      <c r="A112" s="19" t="s">
        <v>389</v>
      </c>
      <c r="B112" s="21" t="s">
        <v>30</v>
      </c>
      <c r="C112" s="21" t="s">
        <v>164</v>
      </c>
      <c r="D112" s="21">
        <v>1</v>
      </c>
      <c r="E112" s="23">
        <v>30</v>
      </c>
      <c r="F112" s="23">
        <v>30</v>
      </c>
      <c r="G112" s="23">
        <v>12</v>
      </c>
      <c r="H112" s="23">
        <v>12</v>
      </c>
      <c r="I112" s="24" t="s">
        <v>390</v>
      </c>
      <c r="J112" s="27"/>
      <c r="K112" s="23"/>
      <c r="L112" s="23" t="s">
        <v>398</v>
      </c>
      <c r="M112" s="40" t="str">
        <f>IF(ISNUMBER(Log[[#This Row],[Day]]),TEXT(Log[[#This Row],[Day]],"0"),Log[[#This Row],[Day]])</f>
        <v>1</v>
      </c>
      <c r="N112" s="40" t="str">
        <f>_xlfn.XLOOKUP(Log[[#This Row],[Exercise]],Exercises[Exercise],Exercises[Category],"Ukendt",0)</f>
        <v>Compound</v>
      </c>
      <c r="O112" s="40" t="str">
        <f>_xlfn.XLOOKUP(Log[[#This Row],[Exercise]],Table5[Exercise],Table5[Primary],"Ukendt",0)</f>
        <v>Ukendt</v>
      </c>
    </row>
    <row r="113" spans="1:15">
      <c r="A113" s="19" t="s">
        <v>389</v>
      </c>
      <c r="B113" s="21" t="s">
        <v>56</v>
      </c>
      <c r="C113" s="21" t="s">
        <v>190</v>
      </c>
      <c r="D113" s="21">
        <v>1</v>
      </c>
      <c r="E113" s="23">
        <v>40</v>
      </c>
      <c r="F113" s="23">
        <v>40</v>
      </c>
      <c r="G113" s="23">
        <v>12</v>
      </c>
      <c r="H113" s="23">
        <v>12</v>
      </c>
      <c r="I113" s="24" t="s">
        <v>390</v>
      </c>
      <c r="J113" s="27"/>
      <c r="K113" s="23"/>
      <c r="L113" s="23" t="s">
        <v>399</v>
      </c>
      <c r="M113" s="40" t="str">
        <f>IF(ISNUMBER(Log[[#This Row],[Day]]),TEXT(Log[[#This Row],[Day]],"0"),Log[[#This Row],[Day]])</f>
        <v>1</v>
      </c>
      <c r="N113" s="40" t="str">
        <f>_xlfn.XLOOKUP(Log[[#This Row],[Exercise]],Exercises[Exercise],Exercises[Category],"Ukendt",0)</f>
        <v>Isolation</v>
      </c>
      <c r="O113" s="40" t="str">
        <f>_xlfn.XLOOKUP(Log[[#This Row],[Exercise]],Table5[Exercise],Table5[Primary],"Ukendt",0)</f>
        <v>Ukendt</v>
      </c>
    </row>
    <row r="114" spans="1:15">
      <c r="A114" s="19" t="s">
        <v>389</v>
      </c>
      <c r="B114" s="21" t="s">
        <v>30</v>
      </c>
      <c r="C114" s="21" t="s">
        <v>201</v>
      </c>
      <c r="D114" s="21">
        <v>1</v>
      </c>
      <c r="E114" s="23">
        <v>40</v>
      </c>
      <c r="F114" s="23">
        <v>40</v>
      </c>
      <c r="G114" s="23">
        <v>12</v>
      </c>
      <c r="H114" s="23">
        <v>12</v>
      </c>
      <c r="I114" s="24" t="s">
        <v>390</v>
      </c>
      <c r="J114" s="27"/>
      <c r="K114" s="23"/>
      <c r="L114" s="23" t="s">
        <v>400</v>
      </c>
      <c r="M114" s="40" t="str">
        <f>IF(ISNUMBER(Log[[#This Row],[Day]]),TEXT(Log[[#This Row],[Day]],"0"),Log[[#This Row],[Day]])</f>
        <v>1</v>
      </c>
      <c r="N114" s="40" t="str">
        <f>_xlfn.XLOOKUP(Log[[#This Row],[Exercise]],Exercises[Exercise],Exercises[Category],"Ukendt",0)</f>
        <v>Isolation</v>
      </c>
      <c r="O114" s="40" t="str">
        <f>_xlfn.XLOOKUP(Log[[#This Row],[Exercise]],Table5[Exercise],Table5[Primary],"Ukendt",0)</f>
        <v>Ukendt</v>
      </c>
    </row>
    <row r="115" spans="1:15">
      <c r="A115" s="19" t="s">
        <v>401</v>
      </c>
      <c r="B115" s="21" t="s">
        <v>21</v>
      </c>
      <c r="C115" s="21" t="s">
        <v>157</v>
      </c>
      <c r="D115" s="21" t="s">
        <v>156</v>
      </c>
      <c r="E115" s="23"/>
      <c r="F115" s="23"/>
      <c r="G115" s="23">
        <v>3</v>
      </c>
      <c r="H115" s="23">
        <v>3</v>
      </c>
      <c r="I115" s="24" t="s">
        <v>402</v>
      </c>
      <c r="J115" s="27" t="s">
        <v>403</v>
      </c>
      <c r="K115" s="23">
        <v>1</v>
      </c>
      <c r="L115" s="23" t="s">
        <v>404</v>
      </c>
      <c r="M115" s="40" t="str">
        <f>IF(ISNUMBER(Log[[#This Row],[Day]]),TEXT(Log[[#This Row],[Day]],"0"),Log[[#This Row],[Day]])</f>
        <v>O</v>
      </c>
      <c r="N115" s="40" t="str">
        <f>_xlfn.XLOOKUP(Log[[#This Row],[Exercise]],Exercises[Exercise],Exercises[Category],"Ukendt",0)</f>
        <v>Compound</v>
      </c>
      <c r="O115" s="40" t="str">
        <f>_xlfn.XLOOKUP(Log[[#This Row],[Exercise]],Table5[Exercise],Table5[Primary],"Ukendt",0)</f>
        <v>Ukendt</v>
      </c>
    </row>
    <row r="116" spans="1:15">
      <c r="A116" s="19" t="s">
        <v>405</v>
      </c>
      <c r="B116" s="21" t="s">
        <v>56</v>
      </c>
      <c r="C116" s="21" t="s">
        <v>143</v>
      </c>
      <c r="D116" s="21">
        <v>2</v>
      </c>
      <c r="E116" s="23">
        <v>0</v>
      </c>
      <c r="F116" s="23">
        <v>0</v>
      </c>
      <c r="G116" s="23">
        <v>8</v>
      </c>
      <c r="H116" s="23">
        <v>8</v>
      </c>
      <c r="I116" s="24" t="s">
        <v>402</v>
      </c>
      <c r="J116" s="27" t="s">
        <v>406</v>
      </c>
      <c r="K116" s="23">
        <v>3</v>
      </c>
      <c r="L116" s="23" t="s">
        <v>407</v>
      </c>
      <c r="M116" s="40" t="str">
        <f>IF(ISNUMBER(Log[[#This Row],[Day]]),TEXT(Log[[#This Row],[Day]],"0"),Log[[#This Row],[Day]])</f>
        <v>2</v>
      </c>
      <c r="N116" s="40" t="str">
        <f>_xlfn.XLOOKUP(Log[[#This Row],[Exercise]],Exercises[Exercise],Exercises[Category],"Ukendt",0)</f>
        <v>Compound</v>
      </c>
      <c r="O116" s="40" t="str">
        <f>_xlfn.XLOOKUP(Log[[#This Row],[Exercise]],Table5[Exercise],Table5[Primary],"Ukendt",0)</f>
        <v>Ukendt</v>
      </c>
    </row>
    <row r="117" spans="1:15">
      <c r="A117" s="19" t="s">
        <v>408</v>
      </c>
      <c r="B117" s="21" t="s">
        <v>30</v>
      </c>
      <c r="C117" s="21" t="s">
        <v>75</v>
      </c>
      <c r="D117" s="21">
        <v>1</v>
      </c>
      <c r="E117" s="23">
        <v>35</v>
      </c>
      <c r="F117" s="23">
        <v>40</v>
      </c>
      <c r="G117" s="23">
        <v>12</v>
      </c>
      <c r="H117" s="23">
        <v>12</v>
      </c>
      <c r="I117" s="24" t="s">
        <v>402</v>
      </c>
      <c r="J117" s="27" t="s">
        <v>409</v>
      </c>
      <c r="K117" s="23">
        <v>3</v>
      </c>
      <c r="L117" s="23" t="s">
        <v>410</v>
      </c>
      <c r="M117" s="40" t="str">
        <f>IF(ISNUMBER(Log[[#This Row],[Day]]),TEXT(Log[[#This Row],[Day]],"0"),Log[[#This Row],[Day]])</f>
        <v>1</v>
      </c>
      <c r="N117" s="40" t="str">
        <f>_xlfn.XLOOKUP(Log[[#This Row],[Exercise]],Exercises[Exercise],Exercises[Category],"Ukendt",0)</f>
        <v>Compound</v>
      </c>
      <c r="O117" s="40" t="str">
        <f>_xlfn.XLOOKUP(Log[[#This Row],[Exercise]],Table5[Exercise],Table5[Primary],"Ukendt",0)</f>
        <v>Bryst</v>
      </c>
    </row>
    <row r="118" spans="1:15">
      <c r="A118" s="19" t="s">
        <v>411</v>
      </c>
      <c r="B118" s="21" t="s">
        <v>30</v>
      </c>
      <c r="C118" s="21" t="s">
        <v>35</v>
      </c>
      <c r="D118" s="21">
        <v>1</v>
      </c>
      <c r="E118" s="23">
        <v>0</v>
      </c>
      <c r="F118" s="23">
        <v>0</v>
      </c>
      <c r="G118" s="23">
        <v>12</v>
      </c>
      <c r="H118" s="23">
        <v>12</v>
      </c>
      <c r="I118" s="24" t="s">
        <v>402</v>
      </c>
      <c r="J118" s="27" t="s">
        <v>412</v>
      </c>
      <c r="K118" s="23">
        <v>3</v>
      </c>
      <c r="L118" s="23" t="s">
        <v>413</v>
      </c>
      <c r="M118" s="40" t="str">
        <f>IF(ISNUMBER(Log[[#This Row],[Day]]),TEXT(Log[[#This Row],[Day]],"0"),Log[[#This Row],[Day]])</f>
        <v>1</v>
      </c>
      <c r="N118" s="40" t="str">
        <f>_xlfn.XLOOKUP(Log[[#This Row],[Exercise]],Exercises[Exercise],Exercises[Category],"Ukendt",0)</f>
        <v>Compound</v>
      </c>
      <c r="O118" s="40" t="str">
        <f>_xlfn.XLOOKUP(Log[[#This Row],[Exercise]],Table5[Exercise],Table5[Primary],"Ukendt",0)</f>
        <v>Triceps</v>
      </c>
    </row>
    <row r="119" spans="1:15">
      <c r="A119" s="19" t="s">
        <v>414</v>
      </c>
      <c r="B119" s="21" t="s">
        <v>46</v>
      </c>
      <c r="C119" s="21" t="s">
        <v>79</v>
      </c>
      <c r="D119" s="21">
        <v>3</v>
      </c>
      <c r="E119" s="23">
        <v>20</v>
      </c>
      <c r="F119" s="23">
        <v>20</v>
      </c>
      <c r="G119" s="23">
        <v>20</v>
      </c>
      <c r="H119" s="23">
        <v>20</v>
      </c>
      <c r="I119" s="24" t="s">
        <v>402</v>
      </c>
      <c r="J119" s="27" t="s">
        <v>415</v>
      </c>
      <c r="K119" s="23">
        <v>3</v>
      </c>
      <c r="L119" s="23" t="s">
        <v>416</v>
      </c>
      <c r="M119" s="40" t="str">
        <f>IF(ISNUMBER(Log[[#This Row],[Day]]),TEXT(Log[[#This Row],[Day]],"0"),Log[[#This Row],[Day]])</f>
        <v>3</v>
      </c>
      <c r="N119" s="40" t="str">
        <f>_xlfn.XLOOKUP(Log[[#This Row],[Exercise]],Exercises[Exercise],Exercises[Category],"Ukendt",0)</f>
        <v>Compound</v>
      </c>
      <c r="O119" s="40" t="str">
        <f>_xlfn.XLOOKUP(Log[[#This Row],[Exercise]],Table5[Exercise],Table5[Primary],"Ukendt",0)</f>
        <v>Lår</v>
      </c>
    </row>
    <row r="120" spans="1:15">
      <c r="A120" s="19" t="s">
        <v>417</v>
      </c>
      <c r="B120" s="21" t="s">
        <v>30</v>
      </c>
      <c r="C120" s="21" t="s">
        <v>196</v>
      </c>
      <c r="D120" s="21">
        <v>1</v>
      </c>
      <c r="E120" s="23">
        <v>55</v>
      </c>
      <c r="F120" s="23">
        <v>55</v>
      </c>
      <c r="G120" s="23">
        <v>12</v>
      </c>
      <c r="H120" s="23">
        <v>12</v>
      </c>
      <c r="I120" s="24" t="s">
        <v>402</v>
      </c>
      <c r="J120" s="27" t="s">
        <v>418</v>
      </c>
      <c r="K120" s="23">
        <v>3</v>
      </c>
      <c r="L120" s="23" t="s">
        <v>419</v>
      </c>
      <c r="M120" s="40" t="str">
        <f>IF(ISNUMBER(Log[[#This Row],[Day]]),TEXT(Log[[#This Row],[Day]],"0"),Log[[#This Row],[Day]])</f>
        <v>1</v>
      </c>
      <c r="N120" s="40" t="str">
        <f>_xlfn.XLOOKUP(Log[[#This Row],[Exercise]],Exercises[Exercise],Exercises[Category],"Ukendt",0)</f>
        <v>Compound</v>
      </c>
      <c r="O120" s="40" t="str">
        <f>_xlfn.XLOOKUP(Log[[#This Row],[Exercise]],Table5[Exercise],Table5[Primary],"Ukendt",0)</f>
        <v>Ukendt</v>
      </c>
    </row>
    <row r="121" spans="1:15">
      <c r="A121" s="19" t="s">
        <v>420</v>
      </c>
      <c r="B121" s="21" t="s">
        <v>30</v>
      </c>
      <c r="C121" s="21" t="s">
        <v>111</v>
      </c>
      <c r="D121" s="21">
        <v>1</v>
      </c>
      <c r="E121" s="23">
        <v>8</v>
      </c>
      <c r="F121" s="23">
        <v>8</v>
      </c>
      <c r="G121" s="23">
        <v>12</v>
      </c>
      <c r="H121" s="23">
        <v>12</v>
      </c>
      <c r="I121" s="24" t="s">
        <v>402</v>
      </c>
      <c r="J121" s="27" t="s">
        <v>421</v>
      </c>
      <c r="K121" s="23">
        <v>3</v>
      </c>
      <c r="L121" s="23" t="s">
        <v>422</v>
      </c>
      <c r="M121" s="40" t="str">
        <f>IF(ISNUMBER(Log[[#This Row],[Day]]),TEXT(Log[[#This Row],[Day]],"0"),Log[[#This Row],[Day]])</f>
        <v>1</v>
      </c>
      <c r="N121" s="40" t="str">
        <f>_xlfn.XLOOKUP(Log[[#This Row],[Exercise]],Exercises[Exercise],Exercises[Category],"Ukendt",0)</f>
        <v>Stabilization</v>
      </c>
      <c r="O121" s="40" t="str">
        <f>_xlfn.XLOOKUP(Log[[#This Row],[Exercise]],Table5[Exercise],Table5[Primary],"Ukendt",0)</f>
        <v>Skulder</v>
      </c>
    </row>
    <row r="122" spans="1:15">
      <c r="A122" s="19" t="s">
        <v>420</v>
      </c>
      <c r="B122" s="21" t="s">
        <v>46</v>
      </c>
      <c r="C122" s="21" t="s">
        <v>177</v>
      </c>
      <c r="D122" s="21">
        <v>3</v>
      </c>
      <c r="E122" s="23">
        <v>0</v>
      </c>
      <c r="F122" s="23">
        <v>0</v>
      </c>
      <c r="G122" s="23">
        <v>20</v>
      </c>
      <c r="H122" s="23">
        <v>20</v>
      </c>
      <c r="I122" s="24" t="s">
        <v>402</v>
      </c>
      <c r="J122" s="27" t="s">
        <v>423</v>
      </c>
      <c r="K122" s="23">
        <v>3</v>
      </c>
      <c r="L122" s="23" t="s">
        <v>424</v>
      </c>
      <c r="M122" s="40" t="str">
        <f>IF(ISNUMBER(Log[[#This Row],[Day]]),TEXT(Log[[#This Row],[Day]],"0"),Log[[#This Row],[Day]])</f>
        <v>3</v>
      </c>
      <c r="N122" s="40" t="str">
        <f>_xlfn.XLOOKUP(Log[[#This Row],[Exercise]],Exercises[Exercise],Exercises[Category],"Ukendt",0)</f>
        <v>Compound</v>
      </c>
      <c r="O122" s="40" t="str">
        <f>_xlfn.XLOOKUP(Log[[#This Row],[Exercise]],Table5[Exercise],Table5[Primary],"Ukendt",0)</f>
        <v>Ukendt</v>
      </c>
    </row>
    <row r="123" spans="1:15">
      <c r="A123" s="19" t="s">
        <v>425</v>
      </c>
      <c r="B123" s="21" t="s">
        <v>30</v>
      </c>
      <c r="C123" s="21" t="s">
        <v>201</v>
      </c>
      <c r="D123" s="21">
        <v>1</v>
      </c>
      <c r="E123" s="23">
        <v>50</v>
      </c>
      <c r="F123" s="23">
        <v>55</v>
      </c>
      <c r="G123" s="23">
        <v>12</v>
      </c>
      <c r="H123" s="23">
        <v>12</v>
      </c>
      <c r="I123" s="24" t="s">
        <v>402</v>
      </c>
      <c r="J123" s="27" t="s">
        <v>426</v>
      </c>
      <c r="K123" s="23">
        <v>3</v>
      </c>
      <c r="L123" s="23" t="s">
        <v>427</v>
      </c>
      <c r="M123" s="40" t="str">
        <f>IF(ISNUMBER(Log[[#This Row],[Day]]),TEXT(Log[[#This Row],[Day]],"0"),Log[[#This Row],[Day]])</f>
        <v>1</v>
      </c>
      <c r="N123" s="40" t="str">
        <f>_xlfn.XLOOKUP(Log[[#This Row],[Exercise]],Exercises[Exercise],Exercises[Category],"Ukendt",0)</f>
        <v>Isolation</v>
      </c>
      <c r="O123" s="40" t="str">
        <f>_xlfn.XLOOKUP(Log[[#This Row],[Exercise]],Table5[Exercise],Table5[Primary],"Ukendt",0)</f>
        <v>Ukendt</v>
      </c>
    </row>
    <row r="124" spans="1:15">
      <c r="A124" s="19" t="s">
        <v>428</v>
      </c>
      <c r="B124" s="21" t="s">
        <v>30</v>
      </c>
      <c r="C124" s="21" t="s">
        <v>32</v>
      </c>
      <c r="D124" s="21" t="s">
        <v>31</v>
      </c>
      <c r="E124" s="23"/>
      <c r="F124" s="23"/>
      <c r="G124" s="23">
        <v>20</v>
      </c>
      <c r="H124" s="23">
        <v>20</v>
      </c>
      <c r="I124" s="24" t="s">
        <v>429</v>
      </c>
      <c r="J124" s="27" t="s">
        <v>430</v>
      </c>
      <c r="K124" s="23">
        <v>3</v>
      </c>
      <c r="L124" s="23" t="s">
        <v>431</v>
      </c>
      <c r="M124" s="40" t="str">
        <f>IF(ISNUMBER(Log[[#This Row],[Day]]),TEXT(Log[[#This Row],[Day]],"0"),Log[[#This Row],[Day]])</f>
        <v>H</v>
      </c>
      <c r="N124" s="40" t="str">
        <f>_xlfn.XLOOKUP(Log[[#This Row],[Exercise]],Exercises[Exercise],Exercises[Category],"Ukendt",0)</f>
        <v>Isolation</v>
      </c>
      <c r="O124" s="40" t="str">
        <f>_xlfn.XLOOKUP(Log[[#This Row],[Exercise]],Table5[Exercise],Table5[Primary],"Ukendt",0)</f>
        <v>Bryst</v>
      </c>
    </row>
    <row r="125" spans="1:15">
      <c r="A125" s="19" t="s">
        <v>432</v>
      </c>
      <c r="B125" s="21" t="s">
        <v>21</v>
      </c>
      <c r="C125" s="21" t="s">
        <v>134</v>
      </c>
      <c r="D125" s="21" t="s">
        <v>31</v>
      </c>
      <c r="E125" s="23">
        <v>0</v>
      </c>
      <c r="F125" s="23">
        <v>0</v>
      </c>
      <c r="G125" s="23">
        <v>90</v>
      </c>
      <c r="H125" s="23">
        <v>90</v>
      </c>
      <c r="I125" s="24" t="s">
        <v>429</v>
      </c>
      <c r="J125" s="27" t="s">
        <v>433</v>
      </c>
      <c r="K125" s="23">
        <v>3</v>
      </c>
      <c r="L125" s="23" t="s">
        <v>434</v>
      </c>
      <c r="M125" s="40" t="str">
        <f>IF(ISNUMBER(Log[[#This Row],[Day]]),TEXT(Log[[#This Row],[Day]],"0"),Log[[#This Row],[Day]])</f>
        <v>H</v>
      </c>
      <c r="N125" s="40" t="str">
        <f>_xlfn.XLOOKUP(Log[[#This Row],[Exercise]],Exercises[Exercise],Exercises[Category],"Ukendt",0)</f>
        <v>Core</v>
      </c>
      <c r="O125" s="40" t="str">
        <f>_xlfn.XLOOKUP(Log[[#This Row],[Exercise]],Table5[Exercise],Table5[Primary],"Ukendt",0)</f>
        <v>Ukendt</v>
      </c>
    </row>
    <row r="126" spans="1:15">
      <c r="A126" s="19" t="s">
        <v>435</v>
      </c>
      <c r="B126" s="21" t="s">
        <v>56</v>
      </c>
      <c r="C126" s="21" t="s">
        <v>92</v>
      </c>
      <c r="D126" s="21" t="s">
        <v>31</v>
      </c>
      <c r="E126" s="23" t="s">
        <v>93</v>
      </c>
      <c r="F126" s="23" t="s">
        <v>93</v>
      </c>
      <c r="G126" s="23">
        <v>10</v>
      </c>
      <c r="H126" s="23">
        <v>10</v>
      </c>
      <c r="I126" s="24" t="s">
        <v>429</v>
      </c>
      <c r="J126" s="27" t="s">
        <v>436</v>
      </c>
      <c r="K126" s="23">
        <v>3</v>
      </c>
      <c r="L126" s="23" t="s">
        <v>437</v>
      </c>
      <c r="M126" s="40" t="str">
        <f>IF(ISNUMBER(Log[[#This Row],[Day]]),TEXT(Log[[#This Row],[Day]],"0"),Log[[#This Row],[Day]])</f>
        <v>H</v>
      </c>
      <c r="N126" s="40" t="str">
        <f>_xlfn.XLOOKUP(Log[[#This Row],[Exercise]],Exercises[Exercise],Exercises[Category],"Ukendt",0)</f>
        <v>Isolation</v>
      </c>
      <c r="O126" s="40" t="str">
        <f>_xlfn.XLOOKUP(Log[[#This Row],[Exercise]],Table5[Exercise],Table5[Primary],"Ukendt",0)</f>
        <v>Biceps</v>
      </c>
    </row>
    <row r="127" spans="1:15">
      <c r="A127" s="19" t="s">
        <v>435</v>
      </c>
      <c r="B127" s="21" t="s">
        <v>21</v>
      </c>
      <c r="C127" s="21" t="s">
        <v>187</v>
      </c>
      <c r="D127" s="21" t="s">
        <v>31</v>
      </c>
      <c r="E127" s="23"/>
      <c r="F127" s="23"/>
      <c r="G127" s="23">
        <v>45</v>
      </c>
      <c r="H127" s="23">
        <v>45</v>
      </c>
      <c r="I127" s="24" t="s">
        <v>429</v>
      </c>
      <c r="J127" s="27" t="s">
        <v>438</v>
      </c>
      <c r="K127" s="23">
        <v>1</v>
      </c>
      <c r="L127" s="23" t="s">
        <v>439</v>
      </c>
      <c r="M127" s="40" t="str">
        <f>IF(ISNUMBER(Log[[#This Row],[Day]]),TEXT(Log[[#This Row],[Day]],"0"),Log[[#This Row],[Day]])</f>
        <v>H</v>
      </c>
      <c r="N127" s="40" t="str">
        <f>_xlfn.XLOOKUP(Log[[#This Row],[Exercise]],Exercises[Exercise],Exercises[Category],"Ukendt",0)</f>
        <v>Isolation</v>
      </c>
      <c r="O127" s="40" t="str">
        <f>_xlfn.XLOOKUP(Log[[#This Row],[Exercise]],Table5[Exercise],Table5[Primary],"Ukendt",0)</f>
        <v>Ukendt</v>
      </c>
    </row>
    <row r="128" spans="1:15">
      <c r="A128" s="19" t="s">
        <v>440</v>
      </c>
      <c r="B128" s="21" t="s">
        <v>21</v>
      </c>
      <c r="C128" s="21" t="s">
        <v>157</v>
      </c>
      <c r="D128" s="21" t="s">
        <v>156</v>
      </c>
      <c r="E128" s="23"/>
      <c r="F128" s="23"/>
      <c r="G128" s="23">
        <v>3</v>
      </c>
      <c r="H128" s="23">
        <v>3</v>
      </c>
      <c r="I128" s="24" t="s">
        <v>441</v>
      </c>
      <c r="J128" s="27" t="s">
        <v>442</v>
      </c>
      <c r="K128" s="23">
        <v>1</v>
      </c>
      <c r="L128" s="23" t="s">
        <v>443</v>
      </c>
      <c r="M128" s="40" t="str">
        <f>IF(ISNUMBER(Log[[#This Row],[Day]]),TEXT(Log[[#This Row],[Day]],"0"),Log[[#This Row],[Day]])</f>
        <v>O</v>
      </c>
      <c r="N128" s="40" t="str">
        <f>_xlfn.XLOOKUP(Log[[#This Row],[Exercise]],Exercises[Exercise],Exercises[Category],"Ukendt",0)</f>
        <v>Compound</v>
      </c>
      <c r="O128" s="40" t="str">
        <f>_xlfn.XLOOKUP(Log[[#This Row],[Exercise]],Table5[Exercise],Table5[Primary],"Ukendt",0)</f>
        <v>Ukendt</v>
      </c>
    </row>
    <row r="129" spans="1:15">
      <c r="A129" s="19" t="s">
        <v>444</v>
      </c>
      <c r="B129" s="21" t="s">
        <v>21</v>
      </c>
      <c r="C129" s="21" t="s">
        <v>88</v>
      </c>
      <c r="D129" s="21">
        <v>3</v>
      </c>
      <c r="E129" s="23">
        <v>35</v>
      </c>
      <c r="F129" s="23">
        <v>40</v>
      </c>
      <c r="G129" s="23">
        <v>3</v>
      </c>
      <c r="H129" s="23">
        <v>3</v>
      </c>
      <c r="I129" s="24" t="s">
        <v>441</v>
      </c>
      <c r="J129" s="27" t="s">
        <v>445</v>
      </c>
      <c r="K129" s="23">
        <v>3</v>
      </c>
      <c r="L129" s="23" t="s">
        <v>446</v>
      </c>
      <c r="M129" s="40" t="str">
        <f>IF(ISNUMBER(Log[[#This Row],[Day]]),TEXT(Log[[#This Row],[Day]],"0"),Log[[#This Row],[Day]])</f>
        <v>3</v>
      </c>
      <c r="N129" s="40" t="str">
        <f>_xlfn.XLOOKUP(Log[[#This Row],[Exercise]],Exercises[Exercise],Exercises[Category],"Ukendt",0)</f>
        <v>Stabilization</v>
      </c>
      <c r="O129" s="40" t="str">
        <f>_xlfn.XLOOKUP(Log[[#This Row],[Exercise]],Table5[Exercise],Table5[Primary],"Ukendt",0)</f>
        <v>Core</v>
      </c>
    </row>
    <row r="130" spans="1:15">
      <c r="A130" s="19" t="s">
        <v>447</v>
      </c>
      <c r="B130" s="21" t="s">
        <v>46</v>
      </c>
      <c r="C130" s="21" t="s">
        <v>181</v>
      </c>
      <c r="D130" s="21">
        <v>3</v>
      </c>
      <c r="E130" s="23">
        <v>60</v>
      </c>
      <c r="F130" s="23">
        <v>60</v>
      </c>
      <c r="G130" s="23">
        <v>10</v>
      </c>
      <c r="H130" s="23">
        <v>12</v>
      </c>
      <c r="I130" s="24" t="s">
        <v>441</v>
      </c>
      <c r="J130" s="27" t="s">
        <v>448</v>
      </c>
      <c r="K130" s="23">
        <v>3</v>
      </c>
      <c r="L130" s="23" t="s">
        <v>449</v>
      </c>
      <c r="M130" s="40" t="str">
        <f>IF(ISNUMBER(Log[[#This Row],[Day]]),TEXT(Log[[#This Row],[Day]],"0"),Log[[#This Row],[Day]])</f>
        <v>3</v>
      </c>
      <c r="N130" s="40" t="str">
        <f>_xlfn.XLOOKUP(Log[[#This Row],[Exercise]],Exercises[Exercise],Exercises[Category],"Ukendt",0)</f>
        <v>Compound</v>
      </c>
      <c r="O130" s="40" t="str">
        <f>_xlfn.XLOOKUP(Log[[#This Row],[Exercise]],Table5[Exercise],Table5[Primary],"Ukendt",0)</f>
        <v>Ukendt</v>
      </c>
    </row>
    <row r="131" spans="1:15">
      <c r="A131" s="19" t="s">
        <v>450</v>
      </c>
      <c r="B131" s="21" t="s">
        <v>56</v>
      </c>
      <c r="C131" s="21" t="s">
        <v>206</v>
      </c>
      <c r="D131" s="21">
        <v>9</v>
      </c>
      <c r="E131" s="23">
        <v>60</v>
      </c>
      <c r="F131" s="23">
        <v>60</v>
      </c>
      <c r="G131" s="23">
        <v>6</v>
      </c>
      <c r="H131" s="23">
        <v>6</v>
      </c>
      <c r="I131" s="24" t="s">
        <v>441</v>
      </c>
      <c r="J131" s="27" t="s">
        <v>451</v>
      </c>
      <c r="K131" s="23">
        <v>3</v>
      </c>
      <c r="L131" s="23" t="s">
        <v>452</v>
      </c>
      <c r="M131" s="40" t="str">
        <f>IF(ISNUMBER(Log[[#This Row],[Day]]),TEXT(Log[[#This Row],[Day]],"0"),Log[[#This Row],[Day]])</f>
        <v>9</v>
      </c>
      <c r="N131" s="40" t="str">
        <f>_xlfn.XLOOKUP(Log[[#This Row],[Exercise]],Exercises[Exercise],Exercises[Category],"Ukendt",0)</f>
        <v>Compound</v>
      </c>
      <c r="O131" s="40" t="str">
        <f>_xlfn.XLOOKUP(Log[[#This Row],[Exercise]],Table5[Exercise],Table5[Primary],"Ukendt",0)</f>
        <v>Ukendt</v>
      </c>
    </row>
    <row r="132" spans="1:15">
      <c r="A132" s="19" t="s">
        <v>453</v>
      </c>
      <c r="B132" s="21" t="s">
        <v>46</v>
      </c>
      <c r="C132" s="21" t="s">
        <v>115</v>
      </c>
      <c r="D132" s="21">
        <v>3</v>
      </c>
      <c r="E132" s="23">
        <v>115</v>
      </c>
      <c r="F132" s="23">
        <v>130</v>
      </c>
      <c r="G132" s="23">
        <v>12</v>
      </c>
      <c r="H132" s="23">
        <v>12</v>
      </c>
      <c r="I132" s="24" t="s">
        <v>441</v>
      </c>
      <c r="J132" s="27" t="s">
        <v>454</v>
      </c>
      <c r="K132" s="23">
        <v>3</v>
      </c>
      <c r="L132" s="23" t="s">
        <v>455</v>
      </c>
      <c r="M132" s="40" t="str">
        <f>IF(ISNUMBER(Log[[#This Row],[Day]]),TEXT(Log[[#This Row],[Day]],"0"),Log[[#This Row],[Day]])</f>
        <v>3</v>
      </c>
      <c r="N132" s="40" t="str">
        <f>_xlfn.XLOOKUP(Log[[#This Row],[Exercise]],Exercises[Exercise],Exercises[Category],"Ukendt",0)</f>
        <v>Isolation</v>
      </c>
      <c r="O132" s="40" t="str">
        <f>_xlfn.XLOOKUP(Log[[#This Row],[Exercise]],Table5[Exercise],Table5[Primary],"Ukendt",0)</f>
        <v>Lår</v>
      </c>
    </row>
    <row r="133" spans="1:15">
      <c r="A133" s="19" t="s">
        <v>456</v>
      </c>
      <c r="B133" s="21" t="s">
        <v>56</v>
      </c>
      <c r="C133" s="21" t="s">
        <v>83</v>
      </c>
      <c r="D133" s="21">
        <v>2</v>
      </c>
      <c r="E133" s="23">
        <v>25</v>
      </c>
      <c r="F133" s="23" t="s">
        <v>84</v>
      </c>
      <c r="G133" s="23">
        <v>12</v>
      </c>
      <c r="H133" s="23">
        <v>12</v>
      </c>
      <c r="I133" s="24" t="s">
        <v>441</v>
      </c>
      <c r="J133" s="27" t="s">
        <v>457</v>
      </c>
      <c r="K133" s="23">
        <v>3</v>
      </c>
      <c r="L133" s="23" t="s">
        <v>458</v>
      </c>
      <c r="M133" s="40" t="str">
        <f>IF(ISNUMBER(Log[[#This Row],[Day]]),TEXT(Log[[#This Row],[Day]],"0"),Log[[#This Row],[Day]])</f>
        <v>2</v>
      </c>
      <c r="N133" s="40" t="str">
        <f>_xlfn.XLOOKUP(Log[[#This Row],[Exercise]],Exercises[Exercise],Exercises[Category],"Ukendt",0)</f>
        <v>Compound</v>
      </c>
      <c r="O133" s="40" t="str">
        <f>_xlfn.XLOOKUP(Log[[#This Row],[Exercise]],Table5[Exercise],Table5[Primary],"Ukendt",0)</f>
        <v>Ryg</v>
      </c>
    </row>
    <row r="134" spans="1:15">
      <c r="A134" s="19" t="s">
        <v>459</v>
      </c>
      <c r="B134" s="21" t="s">
        <v>56</v>
      </c>
      <c r="C134" s="21" t="s">
        <v>153</v>
      </c>
      <c r="D134" s="21">
        <v>2</v>
      </c>
      <c r="E134" s="23">
        <v>60</v>
      </c>
      <c r="F134" s="23">
        <v>60</v>
      </c>
      <c r="G134" s="23">
        <v>12</v>
      </c>
      <c r="H134" s="23">
        <v>12</v>
      </c>
      <c r="I134" s="24" t="s">
        <v>441</v>
      </c>
      <c r="J134" s="27" t="s">
        <v>460</v>
      </c>
      <c r="K134" s="23">
        <v>3</v>
      </c>
      <c r="L134" s="23" t="s">
        <v>461</v>
      </c>
      <c r="M134" s="40" t="str">
        <f>IF(ISNUMBER(Log[[#This Row],[Day]]),TEXT(Log[[#This Row],[Day]],"0"),Log[[#This Row],[Day]])</f>
        <v>2</v>
      </c>
      <c r="N134" s="40" t="str">
        <f>_xlfn.XLOOKUP(Log[[#This Row],[Exercise]],Exercises[Exercise],Exercises[Category],"Ukendt",0)</f>
        <v>Stabilization</v>
      </c>
      <c r="O134" s="40" t="str">
        <f>_xlfn.XLOOKUP(Log[[#This Row],[Exercise]],Table5[Exercise],Table5[Primary],"Ukendt",0)</f>
        <v>Ukendt</v>
      </c>
    </row>
    <row r="135" spans="1:15">
      <c r="A135" s="19" t="s">
        <v>462</v>
      </c>
      <c r="B135" s="21" t="s">
        <v>30</v>
      </c>
      <c r="C135" s="21" t="s">
        <v>75</v>
      </c>
      <c r="D135" s="21">
        <v>1</v>
      </c>
      <c r="E135" s="23">
        <v>40</v>
      </c>
      <c r="F135" s="23">
        <v>40</v>
      </c>
      <c r="G135" s="23">
        <v>12</v>
      </c>
      <c r="H135" s="23">
        <v>12</v>
      </c>
      <c r="I135" s="24" t="s">
        <v>441</v>
      </c>
      <c r="J135" s="27" t="s">
        <v>463</v>
      </c>
      <c r="K135" s="23">
        <v>3</v>
      </c>
      <c r="L135" s="23" t="s">
        <v>464</v>
      </c>
      <c r="M135" s="40" t="str">
        <f>IF(ISNUMBER(Log[[#This Row],[Day]]),TEXT(Log[[#This Row],[Day]],"0"),Log[[#This Row],[Day]])</f>
        <v>1</v>
      </c>
      <c r="N135" s="40" t="str">
        <f>_xlfn.XLOOKUP(Log[[#This Row],[Exercise]],Exercises[Exercise],Exercises[Category],"Ukendt",0)</f>
        <v>Compound</v>
      </c>
      <c r="O135" s="40" t="str">
        <f>_xlfn.XLOOKUP(Log[[#This Row],[Exercise]],Table5[Exercise],Table5[Primary],"Ukendt",0)</f>
        <v>Bryst</v>
      </c>
    </row>
    <row r="136" spans="1:15">
      <c r="A136" s="19" t="s">
        <v>465</v>
      </c>
      <c r="B136" s="21" t="s">
        <v>30</v>
      </c>
      <c r="C136" s="21" t="s">
        <v>32</v>
      </c>
      <c r="D136" s="21" t="s">
        <v>31</v>
      </c>
      <c r="E136" s="23"/>
      <c r="F136" s="23"/>
      <c r="G136" s="23">
        <v>20</v>
      </c>
      <c r="H136" s="23">
        <v>20</v>
      </c>
      <c r="I136" s="24" t="s">
        <v>466</v>
      </c>
      <c r="J136" s="27" t="s">
        <v>467</v>
      </c>
      <c r="K136" s="23">
        <v>3</v>
      </c>
      <c r="L136" s="23" t="s">
        <v>468</v>
      </c>
      <c r="M136" s="40" t="str">
        <f>IF(ISNUMBER(Log[[#This Row],[Day]]),TEXT(Log[[#This Row],[Day]],"0"),Log[[#This Row],[Day]])</f>
        <v>H</v>
      </c>
      <c r="N136" s="40" t="str">
        <f>_xlfn.XLOOKUP(Log[[#This Row],[Exercise]],Exercises[Exercise],Exercises[Category],"Ukendt",0)</f>
        <v>Isolation</v>
      </c>
      <c r="O136" s="40" t="str">
        <f>_xlfn.XLOOKUP(Log[[#This Row],[Exercise]],Table5[Exercise],Table5[Primary],"Ukendt",0)</f>
        <v>Bryst</v>
      </c>
    </row>
    <row r="137" spans="1:15">
      <c r="A137" s="19" t="s">
        <v>469</v>
      </c>
      <c r="B137" s="21" t="s">
        <v>56</v>
      </c>
      <c r="C137" s="21" t="s">
        <v>92</v>
      </c>
      <c r="D137" s="21" t="s">
        <v>31</v>
      </c>
      <c r="E137" s="23" t="s">
        <v>93</v>
      </c>
      <c r="F137" s="23" t="s">
        <v>93</v>
      </c>
      <c r="G137" s="23">
        <v>10</v>
      </c>
      <c r="H137" s="23">
        <v>12</v>
      </c>
      <c r="I137" s="24" t="s">
        <v>466</v>
      </c>
      <c r="J137" s="27" t="s">
        <v>470</v>
      </c>
      <c r="K137" s="23">
        <v>3</v>
      </c>
      <c r="L137" s="23" t="s">
        <v>471</v>
      </c>
      <c r="M137" s="40" t="str">
        <f>IF(ISNUMBER(Log[[#This Row],[Day]]),TEXT(Log[[#This Row],[Day]],"0"),Log[[#This Row],[Day]])</f>
        <v>H</v>
      </c>
      <c r="N137" s="40" t="str">
        <f>_xlfn.XLOOKUP(Log[[#This Row],[Exercise]],Exercises[Exercise],Exercises[Category],"Ukendt",0)</f>
        <v>Isolation</v>
      </c>
      <c r="O137" s="40" t="str">
        <f>_xlfn.XLOOKUP(Log[[#This Row],[Exercise]],Table5[Exercise],Table5[Primary],"Ukendt",0)</f>
        <v>Biceps</v>
      </c>
    </row>
    <row r="138" spans="1:15">
      <c r="A138" s="19" t="s">
        <v>472</v>
      </c>
      <c r="B138" s="21" t="s">
        <v>56</v>
      </c>
      <c r="C138" s="21" t="s">
        <v>204</v>
      </c>
      <c r="D138" s="21" t="s">
        <v>31</v>
      </c>
      <c r="E138" s="23">
        <v>15</v>
      </c>
      <c r="F138" s="23" t="s">
        <v>93</v>
      </c>
      <c r="G138" s="23">
        <v>20</v>
      </c>
      <c r="H138" s="23">
        <v>12</v>
      </c>
      <c r="I138" s="24" t="s">
        <v>466</v>
      </c>
      <c r="J138" s="27" t="s">
        <v>473</v>
      </c>
      <c r="K138" s="23"/>
      <c r="L138" s="23" t="s">
        <v>474</v>
      </c>
      <c r="M138" s="40" t="str">
        <f>IF(ISNUMBER(Log[[#This Row],[Day]]),TEXT(Log[[#This Row],[Day]],"0"),Log[[#This Row],[Day]])</f>
        <v>H</v>
      </c>
      <c r="N138" s="40" t="str">
        <f>_xlfn.XLOOKUP(Log[[#This Row],[Exercise]],Exercises[Exercise],Exercises[Category],"Ukendt",0)</f>
        <v>Isolation</v>
      </c>
      <c r="O138" s="40" t="str">
        <f>_xlfn.XLOOKUP(Log[[#This Row],[Exercise]],Table5[Exercise],Table5[Primary],"Ukendt",0)</f>
        <v>Ukendt</v>
      </c>
    </row>
    <row r="139" spans="1:15">
      <c r="A139" s="19" t="s">
        <v>475</v>
      </c>
      <c r="B139" s="21" t="s">
        <v>21</v>
      </c>
      <c r="C139" s="21" t="s">
        <v>157</v>
      </c>
      <c r="D139" s="21" t="s">
        <v>156</v>
      </c>
      <c r="E139" s="23"/>
      <c r="F139" s="23"/>
      <c r="G139" s="23">
        <v>3</v>
      </c>
      <c r="H139" s="23">
        <v>3</v>
      </c>
      <c r="I139" s="24" t="s">
        <v>476</v>
      </c>
      <c r="J139" s="27" t="s">
        <v>477</v>
      </c>
      <c r="K139" s="23">
        <v>1</v>
      </c>
      <c r="L139" s="23" t="s">
        <v>478</v>
      </c>
      <c r="M139" s="40" t="str">
        <f>IF(ISNUMBER(Log[[#This Row],[Day]]),TEXT(Log[[#This Row],[Day]],"0"),Log[[#This Row],[Day]])</f>
        <v>O</v>
      </c>
      <c r="N139" s="40" t="str">
        <f>_xlfn.XLOOKUP(Log[[#This Row],[Exercise]],Exercises[Exercise],Exercises[Category],"Ukendt",0)</f>
        <v>Compound</v>
      </c>
      <c r="O139" s="40" t="str">
        <f>_xlfn.XLOOKUP(Log[[#This Row],[Exercise]],Table5[Exercise],Table5[Primary],"Ukendt",0)</f>
        <v>Ukendt</v>
      </c>
    </row>
    <row r="140" spans="1:15">
      <c r="A140" s="19" t="s">
        <v>479</v>
      </c>
      <c r="B140" s="21" t="s">
        <v>21</v>
      </c>
      <c r="C140" s="21" t="s">
        <v>134</v>
      </c>
      <c r="D140" s="21" t="s">
        <v>31</v>
      </c>
      <c r="E140" s="23">
        <v>0</v>
      </c>
      <c r="F140" s="23">
        <v>0</v>
      </c>
      <c r="G140" s="23">
        <v>90</v>
      </c>
      <c r="H140" s="23">
        <v>90</v>
      </c>
      <c r="I140" s="24" t="s">
        <v>476</v>
      </c>
      <c r="J140" s="27" t="s">
        <v>480</v>
      </c>
      <c r="K140" s="23">
        <v>3</v>
      </c>
      <c r="L140" s="23" t="s">
        <v>481</v>
      </c>
      <c r="M140" s="40" t="str">
        <f>IF(ISNUMBER(Log[[#This Row],[Day]]),TEXT(Log[[#This Row],[Day]],"0"),Log[[#This Row],[Day]])</f>
        <v>H</v>
      </c>
      <c r="N140" s="40" t="str">
        <f>_xlfn.XLOOKUP(Log[[#This Row],[Exercise]],Exercises[Exercise],Exercises[Category],"Ukendt",0)</f>
        <v>Core</v>
      </c>
      <c r="O140" s="40" t="str">
        <f>_xlfn.XLOOKUP(Log[[#This Row],[Exercise]],Table5[Exercise],Table5[Primary],"Ukendt",0)</f>
        <v>Ukendt</v>
      </c>
    </row>
    <row r="141" spans="1:15">
      <c r="A141" s="19" t="s">
        <v>479</v>
      </c>
      <c r="B141" s="21" t="s">
        <v>21</v>
      </c>
      <c r="C141" s="21" t="s">
        <v>187</v>
      </c>
      <c r="D141" s="21" t="s">
        <v>31</v>
      </c>
      <c r="E141" s="23"/>
      <c r="F141" s="23"/>
      <c r="G141" s="23">
        <v>45</v>
      </c>
      <c r="H141" s="23">
        <v>45</v>
      </c>
      <c r="I141" s="24" t="s">
        <v>476</v>
      </c>
      <c r="J141" s="27" t="s">
        <v>482</v>
      </c>
      <c r="K141" s="23">
        <v>1</v>
      </c>
      <c r="L141" s="23" t="s">
        <v>483</v>
      </c>
      <c r="M141" s="40" t="str">
        <f>IF(ISNUMBER(Log[[#This Row],[Day]]),TEXT(Log[[#This Row],[Day]],"0"),Log[[#This Row],[Day]])</f>
        <v>H</v>
      </c>
      <c r="N141" s="40" t="str">
        <f>_xlfn.XLOOKUP(Log[[#This Row],[Exercise]],Exercises[Exercise],Exercises[Category],"Ukendt",0)</f>
        <v>Isolation</v>
      </c>
      <c r="O141" s="40" t="str">
        <f>_xlfn.XLOOKUP(Log[[#This Row],[Exercise]],Table5[Exercise],Table5[Primary],"Ukendt",0)</f>
        <v>Ukendt</v>
      </c>
    </row>
    <row r="142" spans="1:15">
      <c r="A142" s="19" t="s">
        <v>484</v>
      </c>
      <c r="B142" s="21" t="s">
        <v>30</v>
      </c>
      <c r="C142" s="21" t="s">
        <v>41</v>
      </c>
      <c r="D142" s="21">
        <v>1</v>
      </c>
      <c r="E142" s="23">
        <v>60</v>
      </c>
      <c r="F142" s="23">
        <v>60</v>
      </c>
      <c r="G142" s="23">
        <v>10</v>
      </c>
      <c r="H142" s="23">
        <v>11</v>
      </c>
      <c r="I142" s="24" t="s">
        <v>476</v>
      </c>
      <c r="J142" s="27" t="s">
        <v>485</v>
      </c>
      <c r="K142" s="23">
        <v>3</v>
      </c>
      <c r="L142" s="23" t="s">
        <v>486</v>
      </c>
      <c r="M142" s="40" t="str">
        <f>IF(ISNUMBER(Log[[#This Row],[Day]]),TEXT(Log[[#This Row],[Day]],"0"),Log[[#This Row],[Day]])</f>
        <v>1</v>
      </c>
      <c r="N142" s="40" t="str">
        <f>_xlfn.XLOOKUP(Log[[#This Row],[Exercise]],Exercises[Exercise],Exercises[Category],"Ukendt",0)</f>
        <v>Compound</v>
      </c>
      <c r="O142" s="40" t="str">
        <f>_xlfn.XLOOKUP(Log[[#This Row],[Exercise]],Table5[Exercise],Table5[Primary],"Ukendt",0)</f>
        <v>Bryst</v>
      </c>
    </row>
    <row r="143" spans="1:15">
      <c r="A143" s="19" t="s">
        <v>487</v>
      </c>
      <c r="B143" s="21" t="s">
        <v>46</v>
      </c>
      <c r="C143" s="21" t="s">
        <v>79</v>
      </c>
      <c r="D143" s="21">
        <v>3</v>
      </c>
      <c r="E143" s="23">
        <v>20</v>
      </c>
      <c r="F143" s="23">
        <v>20</v>
      </c>
      <c r="G143" s="23">
        <v>20</v>
      </c>
      <c r="H143" s="23">
        <v>22</v>
      </c>
      <c r="I143" s="24" t="s">
        <v>476</v>
      </c>
      <c r="J143" s="27" t="s">
        <v>488</v>
      </c>
      <c r="K143" s="23">
        <v>3</v>
      </c>
      <c r="L143" s="23" t="s">
        <v>489</v>
      </c>
      <c r="M143" s="40" t="str">
        <f>IF(ISNUMBER(Log[[#This Row],[Day]]),TEXT(Log[[#This Row],[Day]],"0"),Log[[#This Row],[Day]])</f>
        <v>3</v>
      </c>
      <c r="N143" s="40" t="str">
        <f>_xlfn.XLOOKUP(Log[[#This Row],[Exercise]],Exercises[Exercise],Exercises[Category],"Ukendt",0)</f>
        <v>Compound</v>
      </c>
      <c r="O143" s="40" t="str">
        <f>_xlfn.XLOOKUP(Log[[#This Row],[Exercise]],Table5[Exercise],Table5[Primary],"Ukendt",0)</f>
        <v>Lår</v>
      </c>
    </row>
    <row r="144" spans="1:15">
      <c r="A144" s="19" t="s">
        <v>490</v>
      </c>
      <c r="B144" s="21" t="s">
        <v>56</v>
      </c>
      <c r="C144" s="21" t="s">
        <v>143</v>
      </c>
      <c r="D144" s="21">
        <v>2</v>
      </c>
      <c r="E144" s="23">
        <v>0</v>
      </c>
      <c r="F144" s="23">
        <v>0</v>
      </c>
      <c r="G144" s="23">
        <v>8</v>
      </c>
      <c r="H144" s="23">
        <v>8</v>
      </c>
      <c r="I144" s="24" t="s">
        <v>476</v>
      </c>
      <c r="J144" s="27" t="s">
        <v>491</v>
      </c>
      <c r="K144" s="23">
        <v>3</v>
      </c>
      <c r="L144" s="23" t="s">
        <v>492</v>
      </c>
      <c r="M144" s="40" t="str">
        <f>IF(ISNUMBER(Log[[#This Row],[Day]]),TEXT(Log[[#This Row],[Day]],"0"),Log[[#This Row],[Day]])</f>
        <v>2</v>
      </c>
      <c r="N144" s="40" t="str">
        <f>_xlfn.XLOOKUP(Log[[#This Row],[Exercise]],Exercises[Exercise],Exercises[Category],"Ukendt",0)</f>
        <v>Compound</v>
      </c>
      <c r="O144" s="40" t="str">
        <f>_xlfn.XLOOKUP(Log[[#This Row],[Exercise]],Table5[Exercise],Table5[Primary],"Ukendt",0)</f>
        <v>Ukendt</v>
      </c>
    </row>
    <row r="145" spans="1:15">
      <c r="A145" s="19" t="s">
        <v>493</v>
      </c>
      <c r="B145" s="21" t="s">
        <v>21</v>
      </c>
      <c r="C145" s="21" t="s">
        <v>97</v>
      </c>
      <c r="D145" s="21">
        <v>3</v>
      </c>
      <c r="E145" s="23">
        <v>0</v>
      </c>
      <c r="F145" s="23">
        <v>0</v>
      </c>
      <c r="G145" s="23">
        <v>15</v>
      </c>
      <c r="H145" s="23">
        <v>16</v>
      </c>
      <c r="I145" s="24" t="s">
        <v>476</v>
      </c>
      <c r="J145" s="27" t="s">
        <v>494</v>
      </c>
      <c r="K145" s="23">
        <v>3</v>
      </c>
      <c r="L145" s="23" t="s">
        <v>495</v>
      </c>
      <c r="M145" s="40" t="str">
        <f>IF(ISNUMBER(Log[[#This Row],[Day]]),TEXT(Log[[#This Row],[Day]],"0"),Log[[#This Row],[Day]])</f>
        <v>3</v>
      </c>
      <c r="N145" s="40" t="str">
        <f>_xlfn.XLOOKUP(Log[[#This Row],[Exercise]],Exercises[Exercise],Exercises[Category],"Ukendt",0)</f>
        <v>Core</v>
      </c>
      <c r="O145" s="40" t="str">
        <f>_xlfn.XLOOKUP(Log[[#This Row],[Exercise]],Table5[Exercise],Table5[Primary],"Ukendt",0)</f>
        <v>Mave</v>
      </c>
    </row>
    <row r="146" spans="1:15">
      <c r="A146" s="19" t="s">
        <v>496</v>
      </c>
      <c r="B146" s="21" t="s">
        <v>30</v>
      </c>
      <c r="C146" s="21" t="s">
        <v>75</v>
      </c>
      <c r="D146" s="21">
        <v>1</v>
      </c>
      <c r="E146" s="23">
        <v>40</v>
      </c>
      <c r="F146" s="23">
        <v>40</v>
      </c>
      <c r="G146" s="23">
        <v>12</v>
      </c>
      <c r="H146" s="23">
        <v>12</v>
      </c>
      <c r="I146" s="24" t="s">
        <v>476</v>
      </c>
      <c r="J146" s="27" t="s">
        <v>497</v>
      </c>
      <c r="K146" s="23">
        <v>3</v>
      </c>
      <c r="L146" s="23" t="s">
        <v>498</v>
      </c>
      <c r="M146" s="40" t="str">
        <f>IF(ISNUMBER(Log[[#This Row],[Day]]),TEXT(Log[[#This Row],[Day]],"0"),Log[[#This Row],[Day]])</f>
        <v>1</v>
      </c>
      <c r="N146" s="40" t="str">
        <f>_xlfn.XLOOKUP(Log[[#This Row],[Exercise]],Exercises[Exercise],Exercises[Category],"Ukendt",0)</f>
        <v>Compound</v>
      </c>
      <c r="O146" s="40" t="str">
        <f>_xlfn.XLOOKUP(Log[[#This Row],[Exercise]],Table5[Exercise],Table5[Primary],"Ukendt",0)</f>
        <v>Bryst</v>
      </c>
    </row>
    <row r="147" spans="1:15">
      <c r="A147" s="19" t="s">
        <v>496</v>
      </c>
      <c r="B147" s="21" t="s">
        <v>46</v>
      </c>
      <c r="C147" s="21" t="s">
        <v>177</v>
      </c>
      <c r="D147" s="21">
        <v>3</v>
      </c>
      <c r="E147" s="23">
        <v>0</v>
      </c>
      <c r="F147" s="23">
        <v>0</v>
      </c>
      <c r="G147" s="23">
        <v>20</v>
      </c>
      <c r="H147" s="23">
        <v>24</v>
      </c>
      <c r="I147" s="24" t="s">
        <v>476</v>
      </c>
      <c r="J147" s="27" t="s">
        <v>499</v>
      </c>
      <c r="K147" s="23">
        <v>3</v>
      </c>
      <c r="L147" s="23" t="s">
        <v>500</v>
      </c>
      <c r="M147" s="40" t="str">
        <f>IF(ISNUMBER(Log[[#This Row],[Day]]),TEXT(Log[[#This Row],[Day]],"0"),Log[[#This Row],[Day]])</f>
        <v>3</v>
      </c>
      <c r="N147" s="40" t="str">
        <f>_xlfn.XLOOKUP(Log[[#This Row],[Exercise]],Exercises[Exercise],Exercises[Category],"Ukendt",0)</f>
        <v>Compound</v>
      </c>
      <c r="O147" s="40" t="str">
        <f>_xlfn.XLOOKUP(Log[[#This Row],[Exercise]],Table5[Exercise],Table5[Primary],"Ukendt",0)</f>
        <v>Ukendt</v>
      </c>
    </row>
    <row r="148" spans="1:15">
      <c r="A148" s="19" t="s">
        <v>501</v>
      </c>
      <c r="B148" s="21" t="s">
        <v>21</v>
      </c>
      <c r="C148" s="21" t="s">
        <v>67</v>
      </c>
      <c r="D148" s="21">
        <v>3</v>
      </c>
      <c r="E148" s="23">
        <v>30</v>
      </c>
      <c r="F148" s="23">
        <v>30</v>
      </c>
      <c r="G148" s="23">
        <v>12</v>
      </c>
      <c r="H148" s="23">
        <v>12</v>
      </c>
      <c r="I148" s="24" t="s">
        <v>476</v>
      </c>
      <c r="J148" s="27" t="s">
        <v>502</v>
      </c>
      <c r="K148" s="23">
        <v>3</v>
      </c>
      <c r="L148" s="23" t="s">
        <v>503</v>
      </c>
      <c r="M148" s="40" t="str">
        <f>IF(ISNUMBER(Log[[#This Row],[Day]]),TEXT(Log[[#This Row],[Day]],"0"),Log[[#This Row],[Day]])</f>
        <v>3</v>
      </c>
      <c r="N148" s="40" t="str">
        <f>_xlfn.XLOOKUP(Log[[#This Row],[Exercise]],Exercises[Exercise],Exercises[Category],"Ukendt",0)</f>
        <v>Compound</v>
      </c>
      <c r="O148" s="40" t="str">
        <f>_xlfn.XLOOKUP(Log[[#This Row],[Exercise]],Table5[Exercise],Table5[Primary],"Ukendt",0)</f>
        <v>Core</v>
      </c>
    </row>
    <row r="149" spans="1:15">
      <c r="A149" s="19" t="s">
        <v>501</v>
      </c>
      <c r="B149" s="21" t="s">
        <v>56</v>
      </c>
      <c r="C149" s="21" t="s">
        <v>160</v>
      </c>
      <c r="D149" s="21">
        <v>2</v>
      </c>
      <c r="E149" s="23">
        <v>70</v>
      </c>
      <c r="F149" s="23">
        <v>85</v>
      </c>
      <c r="G149" s="23">
        <v>12</v>
      </c>
      <c r="H149" s="23">
        <v>12</v>
      </c>
      <c r="I149" s="24" t="s">
        <v>476</v>
      </c>
      <c r="J149" s="27" t="s">
        <v>504</v>
      </c>
      <c r="K149" s="23">
        <v>3</v>
      </c>
      <c r="L149" s="23" t="s">
        <v>505</v>
      </c>
      <c r="M149" s="40" t="str">
        <f>IF(ISNUMBER(Log[[#This Row],[Day]]),TEXT(Log[[#This Row],[Day]],"0"),Log[[#This Row],[Day]])</f>
        <v>2</v>
      </c>
      <c r="N149" s="40" t="str">
        <f>_xlfn.XLOOKUP(Log[[#This Row],[Exercise]],Exercises[Exercise],Exercises[Category],"Ukendt",0)</f>
        <v>Compound</v>
      </c>
      <c r="O149" s="40" t="str">
        <f>_xlfn.XLOOKUP(Log[[#This Row],[Exercise]],Table5[Exercise],Table5[Primary],"Ukendt",0)</f>
        <v>Ukendt</v>
      </c>
    </row>
    <row r="150" spans="1:15">
      <c r="A150" s="19" t="s">
        <v>506</v>
      </c>
      <c r="B150" s="21" t="s">
        <v>46</v>
      </c>
      <c r="C150" s="21" t="s">
        <v>181</v>
      </c>
      <c r="D150" s="21">
        <v>3</v>
      </c>
      <c r="E150" s="23">
        <v>60</v>
      </c>
      <c r="F150" s="23">
        <v>70</v>
      </c>
      <c r="G150" s="23">
        <v>12</v>
      </c>
      <c r="H150" s="23">
        <v>12</v>
      </c>
      <c r="I150" s="24" t="s">
        <v>507</v>
      </c>
      <c r="J150" s="27" t="s">
        <v>508</v>
      </c>
      <c r="K150" s="23">
        <v>3</v>
      </c>
      <c r="L150" s="23" t="s">
        <v>509</v>
      </c>
      <c r="M150" s="40" t="str">
        <f>IF(ISNUMBER(Log[[#This Row],[Day]]),TEXT(Log[[#This Row],[Day]],"0"),Log[[#This Row],[Day]])</f>
        <v>3</v>
      </c>
      <c r="N150" s="40" t="str">
        <f>_xlfn.XLOOKUP(Log[[#This Row],[Exercise]],Exercises[Exercise],Exercises[Category],"Ukendt",0)</f>
        <v>Compound</v>
      </c>
      <c r="O150" s="40" t="str">
        <f>_xlfn.XLOOKUP(Log[[#This Row],[Exercise]],Table5[Exercise],Table5[Primary],"Ukendt",0)</f>
        <v>Ukendt</v>
      </c>
    </row>
    <row r="151" spans="1:15">
      <c r="A151" s="19" t="s">
        <v>510</v>
      </c>
      <c r="B151" s="21" t="s">
        <v>46</v>
      </c>
      <c r="C151" s="21" t="s">
        <v>115</v>
      </c>
      <c r="D151" s="21">
        <v>3</v>
      </c>
      <c r="E151" s="23">
        <v>130</v>
      </c>
      <c r="F151" s="23">
        <v>130</v>
      </c>
      <c r="G151" s="23">
        <v>12</v>
      </c>
      <c r="H151" s="23">
        <v>12</v>
      </c>
      <c r="I151" s="24" t="s">
        <v>507</v>
      </c>
      <c r="J151" s="27" t="s">
        <v>511</v>
      </c>
      <c r="K151" s="23">
        <v>3</v>
      </c>
      <c r="L151" s="23" t="s">
        <v>512</v>
      </c>
      <c r="M151" s="40" t="str">
        <f>IF(ISNUMBER(Log[[#This Row],[Day]]),TEXT(Log[[#This Row],[Day]],"0"),Log[[#This Row],[Day]])</f>
        <v>3</v>
      </c>
      <c r="N151" s="40" t="str">
        <f>_xlfn.XLOOKUP(Log[[#This Row],[Exercise]],Exercises[Exercise],Exercises[Category],"Ukendt",0)</f>
        <v>Isolation</v>
      </c>
      <c r="O151" s="40" t="str">
        <f>_xlfn.XLOOKUP(Log[[#This Row],[Exercise]],Table5[Exercise],Table5[Primary],"Ukendt",0)</f>
        <v>Lår</v>
      </c>
    </row>
    <row r="152" spans="1:15">
      <c r="A152" s="19" t="s">
        <v>513</v>
      </c>
      <c r="B152" s="21" t="s">
        <v>56</v>
      </c>
      <c r="C152" s="21" t="s">
        <v>174</v>
      </c>
      <c r="D152" s="21">
        <v>2</v>
      </c>
      <c r="E152" s="23">
        <v>25</v>
      </c>
      <c r="F152" s="23" t="s">
        <v>84</v>
      </c>
      <c r="G152" s="23">
        <v>12</v>
      </c>
      <c r="H152" s="23">
        <v>12</v>
      </c>
      <c r="I152" s="24" t="s">
        <v>507</v>
      </c>
      <c r="J152" s="27" t="s">
        <v>514</v>
      </c>
      <c r="K152" s="23">
        <v>3</v>
      </c>
      <c r="L152" s="23" t="s">
        <v>515</v>
      </c>
      <c r="M152" s="40" t="str">
        <f>IF(ISNUMBER(Log[[#This Row],[Day]]),TEXT(Log[[#This Row],[Day]],"0"),Log[[#This Row],[Day]])</f>
        <v>2</v>
      </c>
      <c r="N152" s="40" t="str">
        <f>_xlfn.XLOOKUP(Log[[#This Row],[Exercise]],Exercises[Exercise],Exercises[Category],"Ukendt",0)</f>
        <v>Compound</v>
      </c>
      <c r="O152" s="40" t="str">
        <f>_xlfn.XLOOKUP(Log[[#This Row],[Exercise]],Table5[Exercise],Table5[Primary],"Ukendt",0)</f>
        <v>Ukendt</v>
      </c>
    </row>
    <row r="153" spans="1:15">
      <c r="A153" s="19" t="s">
        <v>516</v>
      </c>
      <c r="B153" s="21" t="s">
        <v>56</v>
      </c>
      <c r="C153" s="21" t="s">
        <v>153</v>
      </c>
      <c r="D153" s="21">
        <v>2</v>
      </c>
      <c r="E153" s="23">
        <v>60</v>
      </c>
      <c r="F153" s="23">
        <v>70</v>
      </c>
      <c r="G153" s="23">
        <v>12</v>
      </c>
      <c r="H153" s="23">
        <v>12</v>
      </c>
      <c r="I153" s="24" t="s">
        <v>507</v>
      </c>
      <c r="J153" s="27" t="s">
        <v>517</v>
      </c>
      <c r="K153" s="23">
        <v>3</v>
      </c>
      <c r="L153" s="23" t="s">
        <v>518</v>
      </c>
      <c r="M153" s="40" t="str">
        <f>IF(ISNUMBER(Log[[#This Row],[Day]]),TEXT(Log[[#This Row],[Day]],"0"),Log[[#This Row],[Day]])</f>
        <v>2</v>
      </c>
      <c r="N153" s="40" t="str">
        <f>_xlfn.XLOOKUP(Log[[#This Row],[Exercise]],Exercises[Exercise],Exercises[Category],"Ukendt",0)</f>
        <v>Stabilization</v>
      </c>
      <c r="O153" s="40" t="str">
        <f>_xlfn.XLOOKUP(Log[[#This Row],[Exercise]],Table5[Exercise],Table5[Primary],"Ukendt",0)</f>
        <v>Ukendt</v>
      </c>
    </row>
    <row r="154" spans="1:15">
      <c r="A154" s="19" t="s">
        <v>519</v>
      </c>
      <c r="B154" s="21" t="s">
        <v>56</v>
      </c>
      <c r="C154" s="21" t="s">
        <v>190</v>
      </c>
      <c r="D154" s="21">
        <v>2</v>
      </c>
      <c r="E154" s="23">
        <v>40</v>
      </c>
      <c r="F154" s="23">
        <v>45</v>
      </c>
      <c r="G154" s="23">
        <v>12</v>
      </c>
      <c r="H154" s="23">
        <v>12</v>
      </c>
      <c r="I154" s="24" t="s">
        <v>507</v>
      </c>
      <c r="J154" s="27" t="s">
        <v>520</v>
      </c>
      <c r="K154" s="23">
        <v>3</v>
      </c>
      <c r="L154" s="23" t="s">
        <v>521</v>
      </c>
      <c r="M154" s="40" t="str">
        <f>IF(ISNUMBER(Log[[#This Row],[Day]]),TEXT(Log[[#This Row],[Day]],"0"),Log[[#This Row],[Day]])</f>
        <v>2</v>
      </c>
      <c r="N154" s="40" t="str">
        <f>_xlfn.XLOOKUP(Log[[#This Row],[Exercise]],Exercises[Exercise],Exercises[Category],"Ukendt",0)</f>
        <v>Isolation</v>
      </c>
      <c r="O154" s="40" t="str">
        <f>_xlfn.XLOOKUP(Log[[#This Row],[Exercise]],Table5[Exercise],Table5[Primary],"Ukendt",0)</f>
        <v>Ukendt</v>
      </c>
    </row>
    <row r="155" spans="1:15">
      <c r="A155" s="19" t="s">
        <v>522</v>
      </c>
      <c r="B155" s="21" t="s">
        <v>21</v>
      </c>
      <c r="C155" s="21" t="s">
        <v>24</v>
      </c>
      <c r="D155" s="21">
        <v>9</v>
      </c>
      <c r="E155" s="23">
        <v>0</v>
      </c>
      <c r="F155" s="23">
        <v>0</v>
      </c>
      <c r="G155" s="23">
        <v>6</v>
      </c>
      <c r="H155" s="23">
        <v>6</v>
      </c>
      <c r="I155" s="24" t="s">
        <v>507</v>
      </c>
      <c r="J155" s="27" t="s">
        <v>523</v>
      </c>
      <c r="K155" s="23">
        <v>3</v>
      </c>
      <c r="L155" s="23" t="s">
        <v>524</v>
      </c>
      <c r="M155" s="40" t="str">
        <f>IF(ISNUMBER(Log[[#This Row],[Day]]),TEXT(Log[[#This Row],[Day]],"0"),Log[[#This Row],[Day]])</f>
        <v>9</v>
      </c>
      <c r="N155" s="40" t="str">
        <f>_xlfn.XLOOKUP(Log[[#This Row],[Exercise]],Exercises[Exercise],Exercises[Category],"Ukendt",0)</f>
        <v>Isolation</v>
      </c>
      <c r="O155" s="40" t="str">
        <f>_xlfn.XLOOKUP(Log[[#This Row],[Exercise]],Table5[Exercise],Table5[Primary],"Ukendt",0)</f>
        <v>Mave</v>
      </c>
    </row>
    <row r="156" spans="1:15">
      <c r="A156" s="19" t="s">
        <v>525</v>
      </c>
      <c r="B156" s="21" t="s">
        <v>30</v>
      </c>
      <c r="C156" s="21" t="s">
        <v>35</v>
      </c>
      <c r="D156" s="21">
        <v>1</v>
      </c>
      <c r="E156" s="23">
        <v>0</v>
      </c>
      <c r="F156" s="23">
        <v>0</v>
      </c>
      <c r="G156" s="23">
        <v>12</v>
      </c>
      <c r="H156" s="23">
        <v>12</v>
      </c>
      <c r="I156" s="24" t="s">
        <v>507</v>
      </c>
      <c r="J156" s="27" t="s">
        <v>526</v>
      </c>
      <c r="K156" s="23">
        <v>3</v>
      </c>
      <c r="L156" s="23" t="s">
        <v>527</v>
      </c>
      <c r="M156" s="40" t="str">
        <f>IF(ISNUMBER(Log[[#This Row],[Day]]),TEXT(Log[[#This Row],[Day]],"0"),Log[[#This Row],[Day]])</f>
        <v>1</v>
      </c>
      <c r="N156" s="40" t="str">
        <f>_xlfn.XLOOKUP(Log[[#This Row],[Exercise]],Exercises[Exercise],Exercises[Category],"Ukendt",0)</f>
        <v>Compound</v>
      </c>
      <c r="O156" s="40" t="str">
        <f>_xlfn.XLOOKUP(Log[[#This Row],[Exercise]],Table5[Exercise],Table5[Primary],"Ukendt",0)</f>
        <v>Triceps</v>
      </c>
    </row>
    <row r="157" spans="1:15">
      <c r="A157" s="19" t="s">
        <v>528</v>
      </c>
      <c r="B157" s="21" t="s">
        <v>21</v>
      </c>
      <c r="C157" s="21" t="s">
        <v>88</v>
      </c>
      <c r="D157" s="21">
        <v>3</v>
      </c>
      <c r="E157" s="23">
        <v>40</v>
      </c>
      <c r="F157" s="23">
        <v>40</v>
      </c>
      <c r="G157" s="23">
        <v>3</v>
      </c>
      <c r="H157" s="23">
        <v>3</v>
      </c>
      <c r="I157" s="24" t="s">
        <v>507</v>
      </c>
      <c r="J157" s="27" t="s">
        <v>529</v>
      </c>
      <c r="K157" s="23">
        <v>3</v>
      </c>
      <c r="L157" s="23" t="s">
        <v>530</v>
      </c>
      <c r="M157" s="40" t="str">
        <f>IF(ISNUMBER(Log[[#This Row],[Day]]),TEXT(Log[[#This Row],[Day]],"0"),Log[[#This Row],[Day]])</f>
        <v>3</v>
      </c>
      <c r="N157" s="40" t="str">
        <f>_xlfn.XLOOKUP(Log[[#This Row],[Exercise]],Exercises[Exercise],Exercises[Category],"Ukendt",0)</f>
        <v>Stabilization</v>
      </c>
      <c r="O157" s="40" t="str">
        <f>_xlfn.XLOOKUP(Log[[#This Row],[Exercise]],Table5[Exercise],Table5[Primary],"Ukendt",0)</f>
        <v>Core</v>
      </c>
    </row>
    <row r="158" spans="1:15">
      <c r="A158" s="19" t="s">
        <v>531</v>
      </c>
      <c r="B158" s="21" t="s">
        <v>21</v>
      </c>
      <c r="C158" s="21" t="s">
        <v>157</v>
      </c>
      <c r="D158" s="21" t="s">
        <v>156</v>
      </c>
      <c r="E158" s="23"/>
      <c r="F158" s="23"/>
      <c r="G158" s="23">
        <v>3</v>
      </c>
      <c r="H158" s="23">
        <v>3</v>
      </c>
      <c r="I158" s="24" t="s">
        <v>532</v>
      </c>
      <c r="J158" s="27" t="s">
        <v>533</v>
      </c>
      <c r="K158" s="23">
        <v>1</v>
      </c>
      <c r="L158" s="23" t="s">
        <v>534</v>
      </c>
      <c r="M158" s="40" t="str">
        <f>IF(ISNUMBER(Log[[#This Row],[Day]]),TEXT(Log[[#This Row],[Day]],"0"),Log[[#This Row],[Day]])</f>
        <v>O</v>
      </c>
      <c r="N158" s="40" t="str">
        <f>_xlfn.XLOOKUP(Log[[#This Row],[Exercise]],Exercises[Exercise],Exercises[Category],"Ukendt",0)</f>
        <v>Compound</v>
      </c>
      <c r="O158" s="40" t="str">
        <f>_xlfn.XLOOKUP(Log[[#This Row],[Exercise]],Table5[Exercise],Table5[Primary],"Ukendt",0)</f>
        <v>Ukendt</v>
      </c>
    </row>
    <row r="159" spans="1:15">
      <c r="A159" s="19" t="s">
        <v>531</v>
      </c>
      <c r="B159" s="21" t="s">
        <v>21</v>
      </c>
      <c r="C159" s="21" t="s">
        <v>157</v>
      </c>
      <c r="D159" s="21" t="s">
        <v>156</v>
      </c>
      <c r="E159" s="23"/>
      <c r="F159" s="23"/>
      <c r="G159" s="23">
        <v>3</v>
      </c>
      <c r="H159" s="23">
        <v>3</v>
      </c>
      <c r="I159" s="24" t="s">
        <v>532</v>
      </c>
      <c r="J159" s="27" t="s">
        <v>535</v>
      </c>
      <c r="K159" s="23">
        <v>1</v>
      </c>
      <c r="L159" s="23" t="s">
        <v>536</v>
      </c>
      <c r="M159" s="40" t="str">
        <f>IF(ISNUMBER(Log[[#This Row],[Day]]),TEXT(Log[[#This Row],[Day]],"0"),Log[[#This Row],[Day]])</f>
        <v>O</v>
      </c>
      <c r="N159" s="40" t="str">
        <f>_xlfn.XLOOKUP(Log[[#This Row],[Exercise]],Exercises[Exercise],Exercises[Category],"Ukendt",0)</f>
        <v>Compound</v>
      </c>
      <c r="O159" s="40" t="str">
        <f>_xlfn.XLOOKUP(Log[[#This Row],[Exercise]],Table5[Exercise],Table5[Primary],"Ukendt",0)</f>
        <v>Ukendt</v>
      </c>
    </row>
    <row r="160" spans="1:15">
      <c r="A160" s="19" t="s">
        <v>537</v>
      </c>
      <c r="B160" s="21" t="s">
        <v>21</v>
      </c>
      <c r="C160" s="21" t="s">
        <v>157</v>
      </c>
      <c r="D160" s="21" t="s">
        <v>156</v>
      </c>
      <c r="E160" s="23"/>
      <c r="F160" s="23"/>
      <c r="G160" s="23">
        <v>3</v>
      </c>
      <c r="H160" s="23">
        <v>3</v>
      </c>
      <c r="I160" s="24" t="s">
        <v>538</v>
      </c>
      <c r="J160" s="27" t="s">
        <v>539</v>
      </c>
      <c r="K160" s="23">
        <v>1</v>
      </c>
      <c r="L160" s="23" t="s">
        <v>540</v>
      </c>
      <c r="M160" s="40" t="str">
        <f>IF(ISNUMBER(Log[[#This Row],[Day]]),TEXT(Log[[#This Row],[Day]],"0"),Log[[#This Row],[Day]])</f>
        <v>O</v>
      </c>
      <c r="N160" s="40" t="str">
        <f>_xlfn.XLOOKUP(Log[[#This Row],[Exercise]],Exercises[Exercise],Exercises[Category],"Ukendt",0)</f>
        <v>Compound</v>
      </c>
      <c r="O160" s="40" t="str">
        <f>_xlfn.XLOOKUP(Log[[#This Row],[Exercise]],Table5[Exercise],Table5[Primary],"Ukendt",0)</f>
        <v>Ukendt</v>
      </c>
    </row>
    <row r="161" spans="1:15">
      <c r="A161" s="19" t="s">
        <v>541</v>
      </c>
      <c r="B161" s="21" t="s">
        <v>56</v>
      </c>
      <c r="C161" s="21" t="s">
        <v>143</v>
      </c>
      <c r="D161" s="21">
        <v>2</v>
      </c>
      <c r="E161" s="23">
        <v>0</v>
      </c>
      <c r="F161" s="23">
        <v>0</v>
      </c>
      <c r="G161" s="23">
        <v>8</v>
      </c>
      <c r="H161" s="23">
        <v>8</v>
      </c>
      <c r="I161" s="24" t="s">
        <v>538</v>
      </c>
      <c r="J161" s="27" t="s">
        <v>542</v>
      </c>
      <c r="K161" s="23">
        <v>3</v>
      </c>
      <c r="L161" s="23" t="s">
        <v>543</v>
      </c>
      <c r="M161" s="40" t="str">
        <f>IF(ISNUMBER(Log[[#This Row],[Day]]),TEXT(Log[[#This Row],[Day]],"0"),Log[[#This Row],[Day]])</f>
        <v>2</v>
      </c>
      <c r="N161" s="40" t="str">
        <f>_xlfn.XLOOKUP(Log[[#This Row],[Exercise]],Exercises[Exercise],Exercises[Category],"Ukendt",0)</f>
        <v>Compound</v>
      </c>
      <c r="O161" s="40" t="str">
        <f>_xlfn.XLOOKUP(Log[[#This Row],[Exercise]],Table5[Exercise],Table5[Primary],"Ukendt",0)</f>
        <v>Ukendt</v>
      </c>
    </row>
    <row r="162" spans="1:15">
      <c r="A162" s="19" t="s">
        <v>544</v>
      </c>
      <c r="B162" s="21" t="s">
        <v>56</v>
      </c>
      <c r="C162" s="21" t="s">
        <v>160</v>
      </c>
      <c r="D162" s="21">
        <v>2</v>
      </c>
      <c r="E162" s="23">
        <v>85</v>
      </c>
      <c r="F162" s="23">
        <v>85</v>
      </c>
      <c r="G162" s="23">
        <v>12</v>
      </c>
      <c r="H162" s="23">
        <v>12</v>
      </c>
      <c r="I162" s="24" t="s">
        <v>538</v>
      </c>
      <c r="J162" s="27" t="s">
        <v>545</v>
      </c>
      <c r="K162" s="23">
        <v>3</v>
      </c>
      <c r="L162" s="23" t="s">
        <v>546</v>
      </c>
      <c r="M162" s="40" t="str">
        <f>IF(ISNUMBER(Log[[#This Row],[Day]]),TEXT(Log[[#This Row],[Day]],"0"),Log[[#This Row],[Day]])</f>
        <v>2</v>
      </c>
      <c r="N162" s="40" t="str">
        <f>_xlfn.XLOOKUP(Log[[#This Row],[Exercise]],Exercises[Exercise],Exercises[Category],"Ukendt",0)</f>
        <v>Compound</v>
      </c>
      <c r="O162" s="40" t="str">
        <f>_xlfn.XLOOKUP(Log[[#This Row],[Exercise]],Table5[Exercise],Table5[Primary],"Ukendt",0)</f>
        <v>Ukendt</v>
      </c>
    </row>
    <row r="163" spans="1:15">
      <c r="A163" s="19" t="s">
        <v>547</v>
      </c>
      <c r="B163" s="21" t="s">
        <v>56</v>
      </c>
      <c r="C163" s="21" t="s">
        <v>153</v>
      </c>
      <c r="D163" s="21">
        <v>2</v>
      </c>
      <c r="E163" s="23">
        <v>70</v>
      </c>
      <c r="F163" s="23">
        <v>70</v>
      </c>
      <c r="G163" s="23">
        <v>12</v>
      </c>
      <c r="H163" s="23">
        <v>12</v>
      </c>
      <c r="I163" s="24" t="s">
        <v>538</v>
      </c>
      <c r="J163" s="27" t="s">
        <v>548</v>
      </c>
      <c r="K163" s="23">
        <v>3</v>
      </c>
      <c r="L163" s="23" t="s">
        <v>549</v>
      </c>
      <c r="M163" s="40" t="str">
        <f>IF(ISNUMBER(Log[[#This Row],[Day]]),TEXT(Log[[#This Row],[Day]],"0"),Log[[#This Row],[Day]])</f>
        <v>2</v>
      </c>
      <c r="N163" s="40" t="str">
        <f>_xlfn.XLOOKUP(Log[[#This Row],[Exercise]],Exercises[Exercise],Exercises[Category],"Ukendt",0)</f>
        <v>Stabilization</v>
      </c>
      <c r="O163" s="40" t="str">
        <f>_xlfn.XLOOKUP(Log[[#This Row],[Exercise]],Table5[Exercise],Table5[Primary],"Ukendt",0)</f>
        <v>Ukendt</v>
      </c>
    </row>
    <row r="164" spans="1:15">
      <c r="A164" s="19" t="s">
        <v>550</v>
      </c>
      <c r="B164" s="21" t="s">
        <v>46</v>
      </c>
      <c r="C164" s="21" t="s">
        <v>177</v>
      </c>
      <c r="D164" s="21">
        <v>3</v>
      </c>
      <c r="E164" s="23">
        <v>0</v>
      </c>
      <c r="F164" s="23">
        <v>0</v>
      </c>
      <c r="G164" s="23">
        <v>24</v>
      </c>
      <c r="H164" s="23">
        <v>24</v>
      </c>
      <c r="I164" s="24" t="s">
        <v>538</v>
      </c>
      <c r="J164" s="27" t="s">
        <v>551</v>
      </c>
      <c r="K164" s="23">
        <v>3</v>
      </c>
      <c r="L164" s="23" t="s">
        <v>552</v>
      </c>
      <c r="M164" s="40" t="str">
        <f>IF(ISNUMBER(Log[[#This Row],[Day]]),TEXT(Log[[#This Row],[Day]],"0"),Log[[#This Row],[Day]])</f>
        <v>3</v>
      </c>
      <c r="N164" s="40" t="str">
        <f>_xlfn.XLOOKUP(Log[[#This Row],[Exercise]],Exercises[Exercise],Exercises[Category],"Ukendt",0)</f>
        <v>Compound</v>
      </c>
      <c r="O164" s="40" t="str">
        <f>_xlfn.XLOOKUP(Log[[#This Row],[Exercise]],Table5[Exercise],Table5[Primary],"Ukendt",0)</f>
        <v>Ukendt</v>
      </c>
    </row>
    <row r="165" spans="1:15">
      <c r="A165" s="19" t="s">
        <v>553</v>
      </c>
      <c r="B165" s="21" t="s">
        <v>56</v>
      </c>
      <c r="C165" s="21" t="s">
        <v>59</v>
      </c>
      <c r="D165" s="21">
        <v>2</v>
      </c>
      <c r="E165" s="23">
        <v>35</v>
      </c>
      <c r="F165" s="23">
        <v>35</v>
      </c>
      <c r="G165" s="23">
        <v>12</v>
      </c>
      <c r="H165" s="23">
        <v>12</v>
      </c>
      <c r="I165" s="24" t="s">
        <v>538</v>
      </c>
      <c r="J165" s="27" t="s">
        <v>554</v>
      </c>
      <c r="K165" s="23">
        <v>3</v>
      </c>
      <c r="L165" s="23" t="s">
        <v>555</v>
      </c>
      <c r="M165" s="40" t="str">
        <f>IF(ISNUMBER(Log[[#This Row],[Day]]),TEXT(Log[[#This Row],[Day]],"0"),Log[[#This Row],[Day]])</f>
        <v>2</v>
      </c>
      <c r="N165" s="40" t="str">
        <f>_xlfn.XLOOKUP(Log[[#This Row],[Exercise]],Exercises[Exercise],Exercises[Category],"Ukendt",0)</f>
        <v>Stabilization</v>
      </c>
      <c r="O165" s="40" t="str">
        <f>_xlfn.XLOOKUP(Log[[#This Row],[Exercise]],Table5[Exercise],Table5[Primary],"Ukendt",0)</f>
        <v>Rotatormanchet</v>
      </c>
    </row>
    <row r="166" spans="1:15">
      <c r="A166" s="19" t="s">
        <v>553</v>
      </c>
      <c r="B166" s="21" t="s">
        <v>56</v>
      </c>
      <c r="C166" s="21" t="s">
        <v>59</v>
      </c>
      <c r="D166" s="21">
        <v>2</v>
      </c>
      <c r="E166" s="23">
        <v>35</v>
      </c>
      <c r="F166" s="23">
        <v>35</v>
      </c>
      <c r="G166" s="23">
        <v>12</v>
      </c>
      <c r="H166" s="23">
        <v>12</v>
      </c>
      <c r="I166" s="24" t="s">
        <v>538</v>
      </c>
      <c r="J166" s="27" t="s">
        <v>556</v>
      </c>
      <c r="K166" s="23">
        <v>3</v>
      </c>
      <c r="L166" s="23" t="s">
        <v>557</v>
      </c>
      <c r="M166" s="40" t="str">
        <f>IF(ISNUMBER(Log[[#This Row],[Day]]),TEXT(Log[[#This Row],[Day]],"0"),Log[[#This Row],[Day]])</f>
        <v>2</v>
      </c>
      <c r="N166" s="40" t="str">
        <f>_xlfn.XLOOKUP(Log[[#This Row],[Exercise]],Exercises[Exercise],Exercises[Category],"Ukendt",0)</f>
        <v>Stabilization</v>
      </c>
      <c r="O166" s="40" t="str">
        <f>_xlfn.XLOOKUP(Log[[#This Row],[Exercise]],Table5[Exercise],Table5[Primary],"Ukendt",0)</f>
        <v>Rotatormanchet</v>
      </c>
    </row>
    <row r="167" spans="1:15">
      <c r="A167" s="19" t="s">
        <v>558</v>
      </c>
      <c r="B167" s="21" t="s">
        <v>56</v>
      </c>
      <c r="C167" s="21" t="s">
        <v>150</v>
      </c>
      <c r="D167" s="21">
        <v>2</v>
      </c>
      <c r="E167" s="23">
        <v>25</v>
      </c>
      <c r="F167" s="23">
        <v>30</v>
      </c>
      <c r="G167" s="23">
        <v>12</v>
      </c>
      <c r="H167" s="23">
        <v>12</v>
      </c>
      <c r="I167" s="24" t="s">
        <v>538</v>
      </c>
      <c r="J167" s="27" t="s">
        <v>559</v>
      </c>
      <c r="K167" s="23">
        <v>3</v>
      </c>
      <c r="L167" s="23" t="s">
        <v>560</v>
      </c>
      <c r="M167" s="40" t="str">
        <f>IF(ISNUMBER(Log[[#This Row],[Day]]),TEXT(Log[[#This Row],[Day]],"0"),Log[[#This Row],[Day]])</f>
        <v>2</v>
      </c>
      <c r="N167" s="40" t="str">
        <f>_xlfn.XLOOKUP(Log[[#This Row],[Exercise]],Exercises[Exercise],Exercises[Category],"Ukendt",0)</f>
        <v>Isolation</v>
      </c>
      <c r="O167" s="40" t="str">
        <f>_xlfn.XLOOKUP(Log[[#This Row],[Exercise]],Table5[Exercise],Table5[Primary],"Ukendt",0)</f>
        <v>Ukendt</v>
      </c>
    </row>
    <row r="168" spans="1:15">
      <c r="A168" s="19" t="s">
        <v>561</v>
      </c>
      <c r="B168" s="21" t="s">
        <v>56</v>
      </c>
      <c r="C168" s="21" t="s">
        <v>190</v>
      </c>
      <c r="D168" s="21">
        <v>2</v>
      </c>
      <c r="E168" s="23">
        <v>45</v>
      </c>
      <c r="F168" s="23">
        <v>45</v>
      </c>
      <c r="G168" s="23">
        <v>12</v>
      </c>
      <c r="H168" s="23">
        <v>12</v>
      </c>
      <c r="I168" s="24" t="s">
        <v>538</v>
      </c>
      <c r="J168" s="27" t="s">
        <v>562</v>
      </c>
      <c r="K168" s="23">
        <v>3</v>
      </c>
      <c r="L168" s="23" t="s">
        <v>563</v>
      </c>
      <c r="M168" s="40" t="str">
        <f>IF(ISNUMBER(Log[[#This Row],[Day]]),TEXT(Log[[#This Row],[Day]],"0"),Log[[#This Row],[Day]])</f>
        <v>2</v>
      </c>
      <c r="N168" s="40" t="str">
        <f>_xlfn.XLOOKUP(Log[[#This Row],[Exercise]],Exercises[Exercise],Exercises[Category],"Ukendt",0)</f>
        <v>Isolation</v>
      </c>
      <c r="O168" s="40" t="str">
        <f>_xlfn.XLOOKUP(Log[[#This Row],[Exercise]],Table5[Exercise],Table5[Primary],"Ukendt",0)</f>
        <v>Ukendt</v>
      </c>
    </row>
    <row r="169" spans="1:15">
      <c r="A169" s="19" t="s">
        <v>564</v>
      </c>
      <c r="B169" s="21" t="s">
        <v>30</v>
      </c>
      <c r="C169" s="21" t="s">
        <v>32</v>
      </c>
      <c r="D169" s="21" t="s">
        <v>31</v>
      </c>
      <c r="E169" s="23"/>
      <c r="F169" s="23"/>
      <c r="G169" s="23">
        <v>20</v>
      </c>
      <c r="H169" s="23">
        <v>20</v>
      </c>
      <c r="I169" s="24" t="s">
        <v>565</v>
      </c>
      <c r="J169" s="27" t="s">
        <v>566</v>
      </c>
      <c r="K169" s="23">
        <v>3</v>
      </c>
      <c r="L169" s="23" t="s">
        <v>567</v>
      </c>
      <c r="M169" s="40" t="str">
        <f>IF(ISNUMBER(Log[[#This Row],[Day]]),TEXT(Log[[#This Row],[Day]],"0"),Log[[#This Row],[Day]])</f>
        <v>H</v>
      </c>
      <c r="N169" s="40" t="str">
        <f>_xlfn.XLOOKUP(Log[[#This Row],[Exercise]],Exercises[Exercise],Exercises[Category],"Ukendt",0)</f>
        <v>Isolation</v>
      </c>
      <c r="O169" s="40" t="str">
        <f>_xlfn.XLOOKUP(Log[[#This Row],[Exercise]],Table5[Exercise],Table5[Primary],"Ukendt",0)</f>
        <v>Bryst</v>
      </c>
    </row>
    <row r="170" spans="1:15">
      <c r="A170" s="19" t="s">
        <v>568</v>
      </c>
      <c r="B170" s="21" t="s">
        <v>56</v>
      </c>
      <c r="C170" s="21" t="s">
        <v>92</v>
      </c>
      <c r="D170" s="21" t="s">
        <v>31</v>
      </c>
      <c r="E170" s="23" t="s">
        <v>93</v>
      </c>
      <c r="F170" s="23" t="s">
        <v>93</v>
      </c>
      <c r="G170" s="23">
        <v>12</v>
      </c>
      <c r="H170" s="23">
        <v>12</v>
      </c>
      <c r="I170" s="24" t="s">
        <v>565</v>
      </c>
      <c r="J170" s="27" t="s">
        <v>569</v>
      </c>
      <c r="K170" s="23">
        <v>3</v>
      </c>
      <c r="L170" s="23" t="s">
        <v>570</v>
      </c>
      <c r="M170" s="40" t="str">
        <f>IF(ISNUMBER(Log[[#This Row],[Day]]),TEXT(Log[[#This Row],[Day]],"0"),Log[[#This Row],[Day]])</f>
        <v>H</v>
      </c>
      <c r="N170" s="40" t="str">
        <f>_xlfn.XLOOKUP(Log[[#This Row],[Exercise]],Exercises[Exercise],Exercises[Category],"Ukendt",0)</f>
        <v>Isolation</v>
      </c>
      <c r="O170" s="40" t="str">
        <f>_xlfn.XLOOKUP(Log[[#This Row],[Exercise]],Table5[Exercise],Table5[Primary],"Ukendt",0)</f>
        <v>Biceps</v>
      </c>
    </row>
    <row r="171" spans="1:15">
      <c r="A171" s="19" t="s">
        <v>571</v>
      </c>
      <c r="B171" s="21" t="s">
        <v>56</v>
      </c>
      <c r="C171" s="21" t="s">
        <v>204</v>
      </c>
      <c r="D171" s="21" t="s">
        <v>31</v>
      </c>
      <c r="E171" s="23" t="s">
        <v>93</v>
      </c>
      <c r="F171" s="23" t="s">
        <v>93</v>
      </c>
      <c r="G171" s="23">
        <v>12</v>
      </c>
      <c r="H171" s="23">
        <v>12</v>
      </c>
      <c r="I171" s="24" t="s">
        <v>565</v>
      </c>
      <c r="J171" s="27" t="s">
        <v>572</v>
      </c>
      <c r="K171" s="23"/>
      <c r="L171" s="23" t="s">
        <v>573</v>
      </c>
      <c r="M171" s="40" t="str">
        <f>IF(ISNUMBER(Log[[#This Row],[Day]]),TEXT(Log[[#This Row],[Day]],"0"),Log[[#This Row],[Day]])</f>
        <v>H</v>
      </c>
      <c r="N171" s="40" t="str">
        <f>_xlfn.XLOOKUP(Log[[#This Row],[Exercise]],Exercises[Exercise],Exercises[Category],"Ukendt",0)</f>
        <v>Isolation</v>
      </c>
      <c r="O171" s="40" t="str">
        <f>_xlfn.XLOOKUP(Log[[#This Row],[Exercise]],Table5[Exercise],Table5[Primary],"Ukendt",0)</f>
        <v>Ukendt</v>
      </c>
    </row>
    <row r="172" spans="1:15">
      <c r="A172" s="19" t="s">
        <v>574</v>
      </c>
      <c r="B172" s="21" t="s">
        <v>21</v>
      </c>
      <c r="C172" s="21" t="s">
        <v>187</v>
      </c>
      <c r="D172" s="21" t="s">
        <v>31</v>
      </c>
      <c r="E172" s="23"/>
      <c r="F172" s="23"/>
      <c r="G172" s="23">
        <v>45</v>
      </c>
      <c r="H172" s="23">
        <v>45</v>
      </c>
      <c r="I172" s="24" t="s">
        <v>565</v>
      </c>
      <c r="J172" s="27" t="s">
        <v>575</v>
      </c>
      <c r="K172" s="23">
        <v>1</v>
      </c>
      <c r="L172" s="23" t="s">
        <v>576</v>
      </c>
      <c r="M172" s="40" t="str">
        <f>IF(ISNUMBER(Log[[#This Row],[Day]]),TEXT(Log[[#This Row],[Day]],"0"),Log[[#This Row],[Day]])</f>
        <v>H</v>
      </c>
      <c r="N172" s="40" t="str">
        <f>_xlfn.XLOOKUP(Log[[#This Row],[Exercise]],Exercises[Exercise],Exercises[Category],"Ukendt",0)</f>
        <v>Isolation</v>
      </c>
      <c r="O172" s="40" t="str">
        <f>_xlfn.XLOOKUP(Log[[#This Row],[Exercise]],Table5[Exercise],Table5[Primary],"Ukendt",0)</f>
        <v>Ukendt</v>
      </c>
    </row>
    <row r="173" spans="1:15">
      <c r="A173" s="19" t="s">
        <v>574</v>
      </c>
      <c r="B173" s="21" t="s">
        <v>21</v>
      </c>
      <c r="C173" s="21" t="s">
        <v>187</v>
      </c>
      <c r="D173" s="21" t="s">
        <v>31</v>
      </c>
      <c r="E173" s="23"/>
      <c r="F173" s="23"/>
      <c r="G173" s="23">
        <v>45</v>
      </c>
      <c r="H173" s="23">
        <v>45</v>
      </c>
      <c r="I173" s="24" t="s">
        <v>565</v>
      </c>
      <c r="J173" s="27" t="s">
        <v>577</v>
      </c>
      <c r="K173" s="23">
        <v>1</v>
      </c>
      <c r="L173" s="23" t="s">
        <v>578</v>
      </c>
      <c r="M173" s="40" t="str">
        <f>IF(ISNUMBER(Log[[#This Row],[Day]]),TEXT(Log[[#This Row],[Day]],"0"),Log[[#This Row],[Day]])</f>
        <v>H</v>
      </c>
      <c r="N173" s="40" t="str">
        <f>_xlfn.XLOOKUP(Log[[#This Row],[Exercise]],Exercises[Exercise],Exercises[Category],"Ukendt",0)</f>
        <v>Isolation</v>
      </c>
      <c r="O173" s="40" t="str">
        <f>_xlfn.XLOOKUP(Log[[#This Row],[Exercise]],Table5[Exercise],Table5[Primary],"Ukendt",0)</f>
        <v>Ukendt</v>
      </c>
    </row>
    <row r="174" spans="1:15">
      <c r="A174" s="19" t="s">
        <v>579</v>
      </c>
      <c r="B174" s="21" t="s">
        <v>21</v>
      </c>
      <c r="C174" s="21" t="s">
        <v>157</v>
      </c>
      <c r="D174" s="21" t="s">
        <v>156</v>
      </c>
      <c r="E174" s="23"/>
      <c r="F174" s="23"/>
      <c r="G174" s="23">
        <v>3</v>
      </c>
      <c r="H174" s="23">
        <v>3</v>
      </c>
      <c r="I174" s="24" t="s">
        <v>580</v>
      </c>
      <c r="J174" s="27" t="s">
        <v>581</v>
      </c>
      <c r="K174" s="23">
        <v>1</v>
      </c>
      <c r="L174" s="23" t="s">
        <v>582</v>
      </c>
      <c r="M174" s="40" t="str">
        <f>IF(ISNUMBER(Log[[#This Row],[Day]]),TEXT(Log[[#This Row],[Day]],"0"),Log[[#This Row],[Day]])</f>
        <v>O</v>
      </c>
      <c r="N174" s="40" t="str">
        <f>_xlfn.XLOOKUP(Log[[#This Row],[Exercise]],Exercises[Exercise],Exercises[Category],"Ukendt",0)</f>
        <v>Compound</v>
      </c>
      <c r="O174" s="40" t="str">
        <f>_xlfn.XLOOKUP(Log[[#This Row],[Exercise]],Table5[Exercise],Table5[Primary],"Ukendt",0)</f>
        <v>Ukendt</v>
      </c>
    </row>
    <row r="175" spans="1:15">
      <c r="A175" s="19" t="s">
        <v>583</v>
      </c>
      <c r="B175" s="21" t="s">
        <v>30</v>
      </c>
      <c r="C175" s="21" t="s">
        <v>201</v>
      </c>
      <c r="D175" s="21">
        <v>1</v>
      </c>
      <c r="E175" s="23">
        <v>55</v>
      </c>
      <c r="F175" s="23">
        <v>50</v>
      </c>
      <c r="G175" s="23">
        <v>12</v>
      </c>
      <c r="H175" s="23">
        <v>12</v>
      </c>
      <c r="I175" s="24" t="s">
        <v>580</v>
      </c>
      <c r="J175" s="27" t="s">
        <v>584</v>
      </c>
      <c r="K175" s="23">
        <v>3</v>
      </c>
      <c r="L175" s="23" t="s">
        <v>585</v>
      </c>
      <c r="M175" s="40" t="str">
        <f>IF(ISNUMBER(Log[[#This Row],[Day]]),TEXT(Log[[#This Row],[Day]],"0"),Log[[#This Row],[Day]])</f>
        <v>1</v>
      </c>
      <c r="N175" s="40" t="str">
        <f>_xlfn.XLOOKUP(Log[[#This Row],[Exercise]],Exercises[Exercise],Exercises[Category],"Ukendt",0)</f>
        <v>Isolation</v>
      </c>
      <c r="O175" s="40" t="str">
        <f>_xlfn.XLOOKUP(Log[[#This Row],[Exercise]],Table5[Exercise],Table5[Primary],"Ukendt",0)</f>
        <v>Ukendt</v>
      </c>
    </row>
    <row r="176" spans="1:15">
      <c r="A176" s="19" t="s">
        <v>586</v>
      </c>
      <c r="B176" s="21" t="s">
        <v>30</v>
      </c>
      <c r="C176" s="21" t="s">
        <v>75</v>
      </c>
      <c r="D176" s="21">
        <v>1</v>
      </c>
      <c r="E176" s="23">
        <v>40</v>
      </c>
      <c r="F176" s="23">
        <v>35</v>
      </c>
      <c r="G176" s="23">
        <v>12</v>
      </c>
      <c r="H176" s="23">
        <v>12</v>
      </c>
      <c r="I176" s="24" t="s">
        <v>580</v>
      </c>
      <c r="J176" s="27" t="s">
        <v>587</v>
      </c>
      <c r="K176" s="23">
        <v>3</v>
      </c>
      <c r="L176" s="23" t="s">
        <v>588</v>
      </c>
      <c r="M176" s="40" t="str">
        <f>IF(ISNUMBER(Log[[#This Row],[Day]]),TEXT(Log[[#This Row],[Day]],"0"),Log[[#This Row],[Day]])</f>
        <v>1</v>
      </c>
      <c r="N176" s="40" t="str">
        <f>_xlfn.XLOOKUP(Log[[#This Row],[Exercise]],Exercises[Exercise],Exercises[Category],"Ukendt",0)</f>
        <v>Compound</v>
      </c>
      <c r="O176" s="40" t="str">
        <f>_xlfn.XLOOKUP(Log[[#This Row],[Exercise]],Table5[Exercise],Table5[Primary],"Ukendt",0)</f>
        <v>Bryst</v>
      </c>
    </row>
    <row r="177" spans="1:15">
      <c r="A177" s="19" t="s">
        <v>586</v>
      </c>
      <c r="B177" s="21" t="s">
        <v>21</v>
      </c>
      <c r="C177" s="21" t="s">
        <v>97</v>
      </c>
      <c r="D177" s="21">
        <v>3</v>
      </c>
      <c r="E177" s="23">
        <v>0</v>
      </c>
      <c r="F177" s="23">
        <v>0</v>
      </c>
      <c r="G177" s="23">
        <v>16</v>
      </c>
      <c r="H177" s="23">
        <v>12</v>
      </c>
      <c r="I177" s="24" t="s">
        <v>580</v>
      </c>
      <c r="J177" s="27" t="s">
        <v>589</v>
      </c>
      <c r="K177" s="23">
        <v>3</v>
      </c>
      <c r="L177" s="23" t="s">
        <v>590</v>
      </c>
      <c r="M177" s="40" t="str">
        <f>IF(ISNUMBER(Log[[#This Row],[Day]]),TEXT(Log[[#This Row],[Day]],"0"),Log[[#This Row],[Day]])</f>
        <v>3</v>
      </c>
      <c r="N177" s="40" t="str">
        <f>_xlfn.XLOOKUP(Log[[#This Row],[Exercise]],Exercises[Exercise],Exercises[Category],"Ukendt",0)</f>
        <v>Core</v>
      </c>
      <c r="O177" s="40" t="str">
        <f>_xlfn.XLOOKUP(Log[[#This Row],[Exercise]],Table5[Exercise],Table5[Primary],"Ukendt",0)</f>
        <v>Mave</v>
      </c>
    </row>
    <row r="178" spans="1:15">
      <c r="A178" s="19" t="s">
        <v>591</v>
      </c>
      <c r="B178" s="21" t="s">
        <v>46</v>
      </c>
      <c r="C178" s="21" t="s">
        <v>177</v>
      </c>
      <c r="D178" s="21">
        <v>3</v>
      </c>
      <c r="E178" s="23">
        <v>0</v>
      </c>
      <c r="F178" s="23">
        <v>0</v>
      </c>
      <c r="G178" s="23">
        <v>24</v>
      </c>
      <c r="H178" s="23">
        <v>20</v>
      </c>
      <c r="I178" s="24" t="s">
        <v>580</v>
      </c>
      <c r="J178" s="27" t="s">
        <v>592</v>
      </c>
      <c r="K178" s="23">
        <v>3</v>
      </c>
      <c r="L178" s="23" t="s">
        <v>593</v>
      </c>
      <c r="M178" s="40" t="str">
        <f>IF(ISNUMBER(Log[[#This Row],[Day]]),TEXT(Log[[#This Row],[Day]],"0"),Log[[#This Row],[Day]])</f>
        <v>3</v>
      </c>
      <c r="N178" s="40" t="str">
        <f>_xlfn.XLOOKUP(Log[[#This Row],[Exercise]],Exercises[Exercise],Exercises[Category],"Ukendt",0)</f>
        <v>Compound</v>
      </c>
      <c r="O178" s="40" t="str">
        <f>_xlfn.XLOOKUP(Log[[#This Row],[Exercise]],Table5[Exercise],Table5[Primary],"Ukendt",0)</f>
        <v>Ukendt</v>
      </c>
    </row>
    <row r="179" spans="1:15">
      <c r="A179" s="19" t="s">
        <v>591</v>
      </c>
      <c r="B179" s="21" t="s">
        <v>21</v>
      </c>
      <c r="C179" s="21" t="s">
        <v>67</v>
      </c>
      <c r="D179" s="21">
        <v>3</v>
      </c>
      <c r="E179" s="23">
        <v>30</v>
      </c>
      <c r="F179" s="23">
        <v>25</v>
      </c>
      <c r="G179" s="23">
        <v>12</v>
      </c>
      <c r="H179" s="23">
        <v>12</v>
      </c>
      <c r="I179" s="24" t="s">
        <v>580</v>
      </c>
      <c r="J179" s="27" t="s">
        <v>594</v>
      </c>
      <c r="K179" s="23">
        <v>3</v>
      </c>
      <c r="L179" s="23" t="s">
        <v>595</v>
      </c>
      <c r="M179" s="40" t="str">
        <f>IF(ISNUMBER(Log[[#This Row],[Day]]),TEXT(Log[[#This Row],[Day]],"0"),Log[[#This Row],[Day]])</f>
        <v>3</v>
      </c>
      <c r="N179" s="40" t="str">
        <f>_xlfn.XLOOKUP(Log[[#This Row],[Exercise]],Exercises[Exercise],Exercises[Category],"Ukendt",0)</f>
        <v>Compound</v>
      </c>
      <c r="O179" s="40" t="str">
        <f>_xlfn.XLOOKUP(Log[[#This Row],[Exercise]],Table5[Exercise],Table5[Primary],"Ukendt",0)</f>
        <v>Core</v>
      </c>
    </row>
    <row r="180" spans="1:15">
      <c r="A180" s="19" t="s">
        <v>596</v>
      </c>
      <c r="B180" s="21" t="s">
        <v>46</v>
      </c>
      <c r="C180" s="21" t="s">
        <v>115</v>
      </c>
      <c r="D180" s="21">
        <v>3</v>
      </c>
      <c r="E180" s="23">
        <v>130</v>
      </c>
      <c r="F180" s="23">
        <v>115</v>
      </c>
      <c r="G180" s="23">
        <v>12</v>
      </c>
      <c r="H180" s="23">
        <v>12</v>
      </c>
      <c r="I180" s="24" t="s">
        <v>580</v>
      </c>
      <c r="J180" s="27" t="s">
        <v>597</v>
      </c>
      <c r="K180" s="23">
        <v>3</v>
      </c>
      <c r="L180" s="23" t="s">
        <v>598</v>
      </c>
      <c r="M180" s="40" t="str">
        <f>IF(ISNUMBER(Log[[#This Row],[Day]]),TEXT(Log[[#This Row],[Day]],"0"),Log[[#This Row],[Day]])</f>
        <v>3</v>
      </c>
      <c r="N180" s="40" t="str">
        <f>_xlfn.XLOOKUP(Log[[#This Row],[Exercise]],Exercises[Exercise],Exercises[Category],"Ukendt",0)</f>
        <v>Isolation</v>
      </c>
      <c r="O180" s="40" t="str">
        <f>_xlfn.XLOOKUP(Log[[#This Row],[Exercise]],Table5[Exercise],Table5[Primary],"Ukendt",0)</f>
        <v>Lår</v>
      </c>
    </row>
    <row r="181" spans="1:15">
      <c r="A181" s="19" t="s">
        <v>599</v>
      </c>
      <c r="B181" s="21" t="s">
        <v>46</v>
      </c>
      <c r="C181" s="21" t="s">
        <v>79</v>
      </c>
      <c r="D181" s="21">
        <v>3</v>
      </c>
      <c r="E181" s="23">
        <v>20</v>
      </c>
      <c r="F181" s="23">
        <v>20</v>
      </c>
      <c r="G181" s="23">
        <v>22</v>
      </c>
      <c r="H181" s="23">
        <v>15</v>
      </c>
      <c r="I181" s="24" t="s">
        <v>580</v>
      </c>
      <c r="J181" s="27" t="s">
        <v>600</v>
      </c>
      <c r="K181" s="23">
        <v>3</v>
      </c>
      <c r="L181" s="23" t="s">
        <v>601</v>
      </c>
      <c r="M181" s="40" t="str">
        <f>IF(ISNUMBER(Log[[#This Row],[Day]]),TEXT(Log[[#This Row],[Day]],"0"),Log[[#This Row],[Day]])</f>
        <v>3</v>
      </c>
      <c r="N181" s="40" t="str">
        <f>_xlfn.XLOOKUP(Log[[#This Row],[Exercise]],Exercises[Exercise],Exercises[Category],"Ukendt",0)</f>
        <v>Compound</v>
      </c>
      <c r="O181" s="40" t="str">
        <f>_xlfn.XLOOKUP(Log[[#This Row],[Exercise]],Table5[Exercise],Table5[Primary],"Ukendt",0)</f>
        <v>Lår</v>
      </c>
    </row>
    <row r="182" spans="1:15">
      <c r="A182" s="19" t="s">
        <v>602</v>
      </c>
      <c r="B182" s="21" t="s">
        <v>56</v>
      </c>
      <c r="C182" s="21" t="s">
        <v>143</v>
      </c>
      <c r="D182" s="21">
        <v>2</v>
      </c>
      <c r="E182" s="23">
        <v>0</v>
      </c>
      <c r="F182" s="23">
        <v>0</v>
      </c>
      <c r="G182" s="23">
        <v>8</v>
      </c>
      <c r="H182" s="23">
        <v>6</v>
      </c>
      <c r="I182" s="24" t="s">
        <v>580</v>
      </c>
      <c r="J182" s="27" t="s">
        <v>603</v>
      </c>
      <c r="K182" s="23">
        <v>3</v>
      </c>
      <c r="L182" s="23" t="s">
        <v>604</v>
      </c>
      <c r="M182" s="40" t="str">
        <f>IF(ISNUMBER(Log[[#This Row],[Day]]),TEXT(Log[[#This Row],[Day]],"0"),Log[[#This Row],[Day]])</f>
        <v>2</v>
      </c>
      <c r="N182" s="40" t="str">
        <f>_xlfn.XLOOKUP(Log[[#This Row],[Exercise]],Exercises[Exercise],Exercises[Category],"Ukendt",0)</f>
        <v>Compound</v>
      </c>
      <c r="O182" s="40" t="str">
        <f>_xlfn.XLOOKUP(Log[[#This Row],[Exercise]],Table5[Exercise],Table5[Primary],"Ukendt",0)</f>
        <v>Ukendt</v>
      </c>
    </row>
    <row r="183" spans="1:15">
      <c r="A183" s="19" t="s">
        <v>605</v>
      </c>
      <c r="B183" s="21" t="s">
        <v>56</v>
      </c>
      <c r="C183" s="21" t="s">
        <v>131</v>
      </c>
      <c r="D183" s="21">
        <v>2</v>
      </c>
      <c r="E183" s="23">
        <v>80</v>
      </c>
      <c r="F183" s="23">
        <v>70</v>
      </c>
      <c r="G183" s="23">
        <v>12</v>
      </c>
      <c r="H183" s="23">
        <v>12</v>
      </c>
      <c r="I183" s="24" t="s">
        <v>580</v>
      </c>
      <c r="J183" s="27" t="s">
        <v>606</v>
      </c>
      <c r="K183" s="23">
        <v>3</v>
      </c>
      <c r="L183" s="23" t="s">
        <v>607</v>
      </c>
      <c r="M183" s="40" t="str">
        <f>IF(ISNUMBER(Log[[#This Row],[Day]]),TEXT(Log[[#This Row],[Day]],"0"),Log[[#This Row],[Day]])</f>
        <v>2</v>
      </c>
      <c r="N183" s="40" t="str">
        <f>_xlfn.XLOOKUP(Log[[#This Row],[Exercise]],Exercises[Exercise],Exercises[Category],"Ukendt",0)</f>
        <v>Isolation</v>
      </c>
      <c r="O183" s="40" t="str">
        <f>_xlfn.XLOOKUP(Log[[#This Row],[Exercise]],Table5[Exercise],Table5[Primary],"Ukendt",0)</f>
        <v>Ukendt</v>
      </c>
    </row>
    <row r="184" spans="1:15">
      <c r="A184" s="19" t="s">
        <v>608</v>
      </c>
      <c r="B184" s="21" t="s">
        <v>56</v>
      </c>
      <c r="C184" s="21" t="s">
        <v>153</v>
      </c>
      <c r="D184" s="21">
        <v>2</v>
      </c>
      <c r="E184" s="23">
        <v>70</v>
      </c>
      <c r="F184" s="23">
        <v>60</v>
      </c>
      <c r="G184" s="23">
        <v>12</v>
      </c>
      <c r="H184" s="23">
        <v>12</v>
      </c>
      <c r="I184" s="24" t="s">
        <v>580</v>
      </c>
      <c r="J184" s="27" t="s">
        <v>609</v>
      </c>
      <c r="K184" s="23">
        <v>3</v>
      </c>
      <c r="L184" s="23" t="s">
        <v>610</v>
      </c>
      <c r="M184" s="40" t="str">
        <f>IF(ISNUMBER(Log[[#This Row],[Day]]),TEXT(Log[[#This Row],[Day]],"0"),Log[[#This Row],[Day]])</f>
        <v>2</v>
      </c>
      <c r="N184" s="40" t="str">
        <f>_xlfn.XLOOKUP(Log[[#This Row],[Exercise]],Exercises[Exercise],Exercises[Category],"Ukendt",0)</f>
        <v>Stabilization</v>
      </c>
      <c r="O184" s="40" t="str">
        <f>_xlfn.XLOOKUP(Log[[#This Row],[Exercise]],Table5[Exercise],Table5[Primary],"Ukendt",0)</f>
        <v>Ukendt</v>
      </c>
    </row>
    <row r="185" spans="1:15">
      <c r="A185" s="19" t="s">
        <v>608</v>
      </c>
      <c r="B185" s="21" t="s">
        <v>30</v>
      </c>
      <c r="C185" s="21" t="s">
        <v>35</v>
      </c>
      <c r="D185" s="21">
        <v>1</v>
      </c>
      <c r="E185" s="23">
        <v>0</v>
      </c>
      <c r="F185" s="23">
        <v>0</v>
      </c>
      <c r="G185" s="23">
        <v>12</v>
      </c>
      <c r="H185" s="23">
        <v>10</v>
      </c>
      <c r="I185" s="24" t="s">
        <v>580</v>
      </c>
      <c r="J185" s="27" t="s">
        <v>611</v>
      </c>
      <c r="K185" s="23">
        <v>3</v>
      </c>
      <c r="L185" s="23" t="s">
        <v>612</v>
      </c>
      <c r="M185" s="40" t="str">
        <f>IF(ISNUMBER(Log[[#This Row],[Day]]),TEXT(Log[[#This Row],[Day]],"0"),Log[[#This Row],[Day]])</f>
        <v>1</v>
      </c>
      <c r="N185" s="40" t="str">
        <f>_xlfn.XLOOKUP(Log[[#This Row],[Exercise]],Exercises[Exercise],Exercises[Category],"Ukendt",0)</f>
        <v>Compound</v>
      </c>
      <c r="O185" s="40" t="str">
        <f>_xlfn.XLOOKUP(Log[[#This Row],[Exercise]],Table5[Exercise],Table5[Primary],"Ukendt",0)</f>
        <v>Triceps</v>
      </c>
    </row>
    <row r="186" spans="1:15">
      <c r="A186" s="19" t="s">
        <v>613</v>
      </c>
      <c r="B186" s="21" t="s">
        <v>21</v>
      </c>
      <c r="C186" s="21" t="s">
        <v>88</v>
      </c>
      <c r="D186" s="21">
        <v>3</v>
      </c>
      <c r="E186" s="23">
        <v>40</v>
      </c>
      <c r="F186" s="23">
        <v>35</v>
      </c>
      <c r="G186" s="23">
        <v>3</v>
      </c>
      <c r="H186" s="23">
        <v>3</v>
      </c>
      <c r="I186" s="24" t="s">
        <v>614</v>
      </c>
      <c r="J186" s="27" t="s">
        <v>615</v>
      </c>
      <c r="K186" s="23">
        <v>3</v>
      </c>
      <c r="L186" s="23" t="s">
        <v>616</v>
      </c>
      <c r="M186" s="40" t="str">
        <f>IF(ISNUMBER(Log[[#This Row],[Day]]),TEXT(Log[[#This Row],[Day]],"0"),Log[[#This Row],[Day]])</f>
        <v>3</v>
      </c>
      <c r="N186" s="40" t="str">
        <f>_xlfn.XLOOKUP(Log[[#This Row],[Exercise]],Exercises[Exercise],Exercises[Category],"Ukendt",0)</f>
        <v>Stabilization</v>
      </c>
      <c r="O186" s="40" t="str">
        <f>_xlfn.XLOOKUP(Log[[#This Row],[Exercise]],Table5[Exercise],Table5[Primary],"Ukendt",0)</f>
        <v>Core</v>
      </c>
    </row>
    <row r="187" spans="1:15">
      <c r="A187" s="19" t="s">
        <v>617</v>
      </c>
      <c r="B187" s="21" t="s">
        <v>21</v>
      </c>
      <c r="C187" s="21" t="s">
        <v>157</v>
      </c>
      <c r="D187" s="21" t="s">
        <v>156</v>
      </c>
      <c r="E187" s="23"/>
      <c r="F187" s="23"/>
      <c r="G187" s="23">
        <v>3</v>
      </c>
      <c r="H187" s="23">
        <v>3</v>
      </c>
      <c r="I187" s="24" t="s">
        <v>614</v>
      </c>
      <c r="J187" s="27" t="s">
        <v>618</v>
      </c>
      <c r="K187" s="23">
        <v>1</v>
      </c>
      <c r="L187" s="23" t="s">
        <v>619</v>
      </c>
      <c r="M187" s="40" t="str">
        <f>IF(ISNUMBER(Log[[#This Row],[Day]]),TEXT(Log[[#This Row],[Day]],"0"),Log[[#This Row],[Day]])</f>
        <v>O</v>
      </c>
      <c r="N187" s="40" t="str">
        <f>_xlfn.XLOOKUP(Log[[#This Row],[Exercise]],Exercises[Exercise],Exercises[Category],"Ukendt",0)</f>
        <v>Compound</v>
      </c>
      <c r="O187" s="40" t="str">
        <f>_xlfn.XLOOKUP(Log[[#This Row],[Exercise]],Table5[Exercise],Table5[Primary],"Ukendt",0)</f>
        <v>Ukendt</v>
      </c>
    </row>
    <row r="188" spans="1:15">
      <c r="A188" s="19" t="s">
        <v>620</v>
      </c>
      <c r="B188" s="21" t="s">
        <v>56</v>
      </c>
      <c r="C188" s="21" t="s">
        <v>206</v>
      </c>
      <c r="D188" s="21">
        <v>9</v>
      </c>
      <c r="E188" s="23">
        <v>60</v>
      </c>
      <c r="F188" s="23">
        <v>60</v>
      </c>
      <c r="G188" s="23">
        <v>6</v>
      </c>
      <c r="H188" s="23">
        <v>6</v>
      </c>
      <c r="I188" s="24" t="s">
        <v>614</v>
      </c>
      <c r="J188" s="27" t="s">
        <v>621</v>
      </c>
      <c r="K188" s="23">
        <v>3</v>
      </c>
      <c r="L188" s="23" t="s">
        <v>622</v>
      </c>
      <c r="M188" s="40" t="str">
        <f>IF(ISNUMBER(Log[[#This Row],[Day]]),TEXT(Log[[#This Row],[Day]],"0"),Log[[#This Row],[Day]])</f>
        <v>9</v>
      </c>
      <c r="N188" s="40" t="str">
        <f>_xlfn.XLOOKUP(Log[[#This Row],[Exercise]],Exercises[Exercise],Exercises[Category],"Ukendt",0)</f>
        <v>Compound</v>
      </c>
      <c r="O188" s="40" t="str">
        <f>_xlfn.XLOOKUP(Log[[#This Row],[Exercise]],Table5[Exercise],Table5[Primary],"Ukendt",0)</f>
        <v>Ukendt</v>
      </c>
    </row>
    <row r="189" spans="1:15">
      <c r="A189" s="19" t="s">
        <v>623</v>
      </c>
      <c r="B189" s="21" t="s">
        <v>56</v>
      </c>
      <c r="C189" s="21" t="s">
        <v>59</v>
      </c>
      <c r="D189" s="21">
        <v>2</v>
      </c>
      <c r="E189" s="23">
        <v>35</v>
      </c>
      <c r="F189" s="23">
        <v>35</v>
      </c>
      <c r="G189" s="23">
        <v>12</v>
      </c>
      <c r="H189" s="23">
        <v>12</v>
      </c>
      <c r="I189" s="24" t="s">
        <v>614</v>
      </c>
      <c r="J189" s="27" t="s">
        <v>624</v>
      </c>
      <c r="K189" s="23">
        <v>3</v>
      </c>
      <c r="L189" s="23" t="s">
        <v>625</v>
      </c>
      <c r="M189" s="40" t="str">
        <f>IF(ISNUMBER(Log[[#This Row],[Day]]),TEXT(Log[[#This Row],[Day]],"0"),Log[[#This Row],[Day]])</f>
        <v>2</v>
      </c>
      <c r="N189" s="40" t="str">
        <f>_xlfn.XLOOKUP(Log[[#This Row],[Exercise]],Exercises[Exercise],Exercises[Category],"Ukendt",0)</f>
        <v>Stabilization</v>
      </c>
      <c r="O189" s="40" t="str">
        <f>_xlfn.XLOOKUP(Log[[#This Row],[Exercise]],Table5[Exercise],Table5[Primary],"Ukendt",0)</f>
        <v>Rotatormanchet</v>
      </c>
    </row>
    <row r="190" spans="1:15">
      <c r="A190" s="19" t="s">
        <v>626</v>
      </c>
      <c r="B190" s="21" t="s">
        <v>56</v>
      </c>
      <c r="C190" s="21" t="s">
        <v>150</v>
      </c>
      <c r="D190" s="21">
        <v>2</v>
      </c>
      <c r="E190" s="23">
        <v>30</v>
      </c>
      <c r="F190" s="23">
        <v>30</v>
      </c>
      <c r="G190" s="23">
        <v>12</v>
      </c>
      <c r="H190" s="23">
        <v>12</v>
      </c>
      <c r="I190" s="24" t="s">
        <v>614</v>
      </c>
      <c r="J190" s="27" t="s">
        <v>627</v>
      </c>
      <c r="K190" s="23">
        <v>3</v>
      </c>
      <c r="L190" s="23" t="s">
        <v>628</v>
      </c>
      <c r="M190" s="40" t="str">
        <f>IF(ISNUMBER(Log[[#This Row],[Day]]),TEXT(Log[[#This Row],[Day]],"0"),Log[[#This Row],[Day]])</f>
        <v>2</v>
      </c>
      <c r="N190" s="40" t="str">
        <f>_xlfn.XLOOKUP(Log[[#This Row],[Exercise]],Exercises[Exercise],Exercises[Category],"Ukendt",0)</f>
        <v>Isolation</v>
      </c>
      <c r="O190" s="40" t="str">
        <f>_xlfn.XLOOKUP(Log[[#This Row],[Exercise]],Table5[Exercise],Table5[Primary],"Ukendt",0)</f>
        <v>Ukendt</v>
      </c>
    </row>
    <row r="191" spans="1:15">
      <c r="A191" s="19" t="s">
        <v>626</v>
      </c>
      <c r="B191" s="21" t="s">
        <v>56</v>
      </c>
      <c r="C191" s="21" t="s">
        <v>83</v>
      </c>
      <c r="D191" s="21">
        <v>2</v>
      </c>
      <c r="E191" s="23" t="s">
        <v>84</v>
      </c>
      <c r="F191" s="23" t="s">
        <v>84</v>
      </c>
      <c r="G191" s="23">
        <v>12</v>
      </c>
      <c r="H191" s="23">
        <v>12</v>
      </c>
      <c r="I191" s="24" t="s">
        <v>614</v>
      </c>
      <c r="J191" s="27" t="s">
        <v>629</v>
      </c>
      <c r="K191" s="23">
        <v>3</v>
      </c>
      <c r="L191" s="23" t="s">
        <v>630</v>
      </c>
      <c r="M191" s="40" t="str">
        <f>IF(ISNUMBER(Log[[#This Row],[Day]]),TEXT(Log[[#This Row],[Day]],"0"),Log[[#This Row],[Day]])</f>
        <v>2</v>
      </c>
      <c r="N191" s="40" t="str">
        <f>_xlfn.XLOOKUP(Log[[#This Row],[Exercise]],Exercises[Exercise],Exercises[Category],"Ukendt",0)</f>
        <v>Compound</v>
      </c>
      <c r="O191" s="40" t="str">
        <f>_xlfn.XLOOKUP(Log[[#This Row],[Exercise]],Table5[Exercise],Table5[Primary],"Ukendt",0)</f>
        <v>Ryg</v>
      </c>
    </row>
    <row r="192" spans="1:15">
      <c r="A192" s="19" t="s">
        <v>631</v>
      </c>
      <c r="B192" s="21" t="s">
        <v>56</v>
      </c>
      <c r="C192" s="21" t="s">
        <v>92</v>
      </c>
      <c r="D192" s="21" t="s">
        <v>31</v>
      </c>
      <c r="E192" s="23" t="s">
        <v>93</v>
      </c>
      <c r="F192" s="23" t="s">
        <v>93</v>
      </c>
      <c r="G192" s="23">
        <v>12</v>
      </c>
      <c r="H192" s="23">
        <v>14</v>
      </c>
      <c r="I192" s="24" t="s">
        <v>632</v>
      </c>
      <c r="J192" s="27" t="s">
        <v>633</v>
      </c>
      <c r="K192" s="23">
        <v>3</v>
      </c>
      <c r="L192" s="23" t="s">
        <v>634</v>
      </c>
      <c r="M192" s="40" t="str">
        <f>IF(ISNUMBER(Log[[#This Row],[Day]]),TEXT(Log[[#This Row],[Day]],"0"),Log[[#This Row],[Day]])</f>
        <v>H</v>
      </c>
      <c r="N192" s="40" t="str">
        <f>_xlfn.XLOOKUP(Log[[#This Row],[Exercise]],Exercises[Exercise],Exercises[Category],"Ukendt",0)</f>
        <v>Isolation</v>
      </c>
      <c r="O192" s="40" t="str">
        <f>_xlfn.XLOOKUP(Log[[#This Row],[Exercise]],Table5[Exercise],Table5[Primary],"Ukendt",0)</f>
        <v>Biceps</v>
      </c>
    </row>
    <row r="193" spans="1:15">
      <c r="A193" s="19" t="s">
        <v>635</v>
      </c>
      <c r="B193" s="21" t="s">
        <v>56</v>
      </c>
      <c r="C193" s="21" t="s">
        <v>204</v>
      </c>
      <c r="D193" s="21" t="s">
        <v>31</v>
      </c>
      <c r="E193" s="23" t="s">
        <v>93</v>
      </c>
      <c r="F193" s="23" t="s">
        <v>93</v>
      </c>
      <c r="G193" s="23">
        <v>12</v>
      </c>
      <c r="H193" s="23">
        <v>14</v>
      </c>
      <c r="I193" s="24" t="s">
        <v>632</v>
      </c>
      <c r="J193" s="27" t="s">
        <v>636</v>
      </c>
      <c r="K193" s="23"/>
      <c r="L193" s="23" t="s">
        <v>637</v>
      </c>
      <c r="M193" s="40" t="str">
        <f>IF(ISNUMBER(Log[[#This Row],[Day]]),TEXT(Log[[#This Row],[Day]],"0"),Log[[#This Row],[Day]])</f>
        <v>H</v>
      </c>
      <c r="N193" s="40" t="str">
        <f>_xlfn.XLOOKUP(Log[[#This Row],[Exercise]],Exercises[Exercise],Exercises[Category],"Ukendt",0)</f>
        <v>Isolation</v>
      </c>
      <c r="O193" s="40" t="str">
        <f>_xlfn.XLOOKUP(Log[[#This Row],[Exercise]],Table5[Exercise],Table5[Primary],"Ukendt",0)</f>
        <v>Ukendt</v>
      </c>
    </row>
    <row r="194" spans="1:15">
      <c r="A194" s="19" t="s">
        <v>638</v>
      </c>
      <c r="B194" s="21" t="s">
        <v>30</v>
      </c>
      <c r="C194" s="21" t="s">
        <v>32</v>
      </c>
      <c r="D194" s="21" t="s">
        <v>31</v>
      </c>
      <c r="E194" s="23"/>
      <c r="F194" s="23"/>
      <c r="G194" s="23">
        <v>20</v>
      </c>
      <c r="H194" s="23">
        <v>15</v>
      </c>
      <c r="I194" s="24" t="s">
        <v>632</v>
      </c>
      <c r="J194" s="27" t="s">
        <v>639</v>
      </c>
      <c r="K194" s="23">
        <v>3</v>
      </c>
      <c r="L194" s="23" t="s">
        <v>640</v>
      </c>
      <c r="M194" s="40" t="str">
        <f>IF(ISNUMBER(Log[[#This Row],[Day]]),TEXT(Log[[#This Row],[Day]],"0"),Log[[#This Row],[Day]])</f>
        <v>H</v>
      </c>
      <c r="N194" s="40" t="str">
        <f>_xlfn.XLOOKUP(Log[[#This Row],[Exercise]],Exercises[Exercise],Exercises[Category],"Ukendt",0)</f>
        <v>Isolation</v>
      </c>
      <c r="O194" s="40" t="str">
        <f>_xlfn.XLOOKUP(Log[[#This Row],[Exercise]],Table5[Exercise],Table5[Primary],"Ukendt",0)</f>
        <v>Bryst</v>
      </c>
    </row>
    <row r="195" spans="1:15">
      <c r="A195" s="19" t="s">
        <v>638</v>
      </c>
      <c r="B195" s="21" t="s">
        <v>21</v>
      </c>
      <c r="C195" s="21" t="s">
        <v>187</v>
      </c>
      <c r="D195" s="21" t="s">
        <v>31</v>
      </c>
      <c r="E195" s="23"/>
      <c r="F195" s="23"/>
      <c r="G195" s="23">
        <v>45</v>
      </c>
      <c r="H195" s="23">
        <v>45</v>
      </c>
      <c r="I195" s="24" t="s">
        <v>632</v>
      </c>
      <c r="J195" s="27" t="s">
        <v>641</v>
      </c>
      <c r="K195" s="23">
        <v>1</v>
      </c>
      <c r="L195" s="23" t="s">
        <v>642</v>
      </c>
      <c r="M195" s="40" t="str">
        <f>IF(ISNUMBER(Log[[#This Row],[Day]]),TEXT(Log[[#This Row],[Day]],"0"),Log[[#This Row],[Day]])</f>
        <v>H</v>
      </c>
      <c r="N195" s="40" t="str">
        <f>_xlfn.XLOOKUP(Log[[#This Row],[Exercise]],Exercises[Exercise],Exercises[Category],"Ukendt",0)</f>
        <v>Isolation</v>
      </c>
      <c r="O195" s="40" t="str">
        <f>_xlfn.XLOOKUP(Log[[#This Row],[Exercise]],Table5[Exercise],Table5[Primary],"Ukendt",0)</f>
        <v>Ukendt</v>
      </c>
    </row>
    <row r="196" spans="1:15">
      <c r="A196" s="19" t="s">
        <v>643</v>
      </c>
      <c r="B196" s="21" t="s">
        <v>21</v>
      </c>
      <c r="C196" s="21" t="s">
        <v>157</v>
      </c>
      <c r="D196" s="21" t="s">
        <v>156</v>
      </c>
      <c r="E196" s="23"/>
      <c r="F196" s="23"/>
      <c r="G196" s="23">
        <v>3</v>
      </c>
      <c r="H196" s="23">
        <v>3</v>
      </c>
      <c r="I196" s="24" t="s">
        <v>644</v>
      </c>
      <c r="J196" s="27" t="s">
        <v>645</v>
      </c>
      <c r="K196" s="23">
        <v>1</v>
      </c>
      <c r="L196" s="23" t="s">
        <v>646</v>
      </c>
      <c r="M196" s="40" t="str">
        <f>IF(ISNUMBER(Log[[#This Row],[Day]]),TEXT(Log[[#This Row],[Day]],"0"),Log[[#This Row],[Day]])</f>
        <v>O</v>
      </c>
      <c r="N196" s="40" t="str">
        <f>_xlfn.XLOOKUP(Log[[#This Row],[Exercise]],Exercises[Exercise],Exercises[Category],"Ukendt",0)</f>
        <v>Compound</v>
      </c>
      <c r="O196" s="40" t="str">
        <f>_xlfn.XLOOKUP(Log[[#This Row],[Exercise]],Table5[Exercise],Table5[Primary],"Ukendt",0)</f>
        <v>Ukendt</v>
      </c>
    </row>
    <row r="197" spans="1:15">
      <c r="A197" s="19" t="s">
        <v>647</v>
      </c>
      <c r="B197" s="21" t="s">
        <v>30</v>
      </c>
      <c r="C197" s="21" t="s">
        <v>196</v>
      </c>
      <c r="D197" s="21">
        <v>1</v>
      </c>
      <c r="E197" s="23">
        <v>55</v>
      </c>
      <c r="F197" s="23">
        <v>60</v>
      </c>
      <c r="G197" s="23">
        <v>12</v>
      </c>
      <c r="H197" s="23">
        <v>12</v>
      </c>
      <c r="I197" s="24" t="s">
        <v>644</v>
      </c>
      <c r="J197" s="27" t="s">
        <v>648</v>
      </c>
      <c r="K197" s="23">
        <v>3</v>
      </c>
      <c r="L197" s="23" t="s">
        <v>649</v>
      </c>
      <c r="M197" s="40" t="str">
        <f>IF(ISNUMBER(Log[[#This Row],[Day]]),TEXT(Log[[#This Row],[Day]],"0"),Log[[#This Row],[Day]])</f>
        <v>1</v>
      </c>
      <c r="N197" s="40" t="str">
        <f>_xlfn.XLOOKUP(Log[[#This Row],[Exercise]],Exercises[Exercise],Exercises[Category],"Ukendt",0)</f>
        <v>Compound</v>
      </c>
      <c r="O197" s="40" t="str">
        <f>_xlfn.XLOOKUP(Log[[#This Row],[Exercise]],Table5[Exercise],Table5[Primary],"Ukendt",0)</f>
        <v>Ukendt</v>
      </c>
    </row>
    <row r="198" spans="1:15">
      <c r="A198" s="19" t="s">
        <v>650</v>
      </c>
      <c r="B198" s="21" t="s">
        <v>46</v>
      </c>
      <c r="C198" s="21" t="s">
        <v>177</v>
      </c>
      <c r="D198" s="21">
        <v>3</v>
      </c>
      <c r="E198" s="23">
        <v>0</v>
      </c>
      <c r="F198" s="23">
        <v>0</v>
      </c>
      <c r="G198" s="23">
        <v>20</v>
      </c>
      <c r="H198" s="23">
        <v>23</v>
      </c>
      <c r="I198" s="24" t="s">
        <v>644</v>
      </c>
      <c r="J198" s="27" t="s">
        <v>651</v>
      </c>
      <c r="K198" s="23">
        <v>3</v>
      </c>
      <c r="L198" s="23" t="s">
        <v>652</v>
      </c>
      <c r="M198" s="40" t="str">
        <f>IF(ISNUMBER(Log[[#This Row],[Day]]),TEXT(Log[[#This Row],[Day]],"0"),Log[[#This Row],[Day]])</f>
        <v>3</v>
      </c>
      <c r="N198" s="40" t="str">
        <f>_xlfn.XLOOKUP(Log[[#This Row],[Exercise]],Exercises[Exercise],Exercises[Category],"Ukendt",0)</f>
        <v>Compound</v>
      </c>
      <c r="O198" s="40" t="str">
        <f>_xlfn.XLOOKUP(Log[[#This Row],[Exercise]],Table5[Exercise],Table5[Primary],"Ukendt",0)</f>
        <v>Ukendt</v>
      </c>
    </row>
    <row r="199" spans="1:15">
      <c r="A199" s="19" t="s">
        <v>653</v>
      </c>
      <c r="B199" s="21" t="s">
        <v>21</v>
      </c>
      <c r="C199" s="21" t="s">
        <v>67</v>
      </c>
      <c r="D199" s="21">
        <v>3</v>
      </c>
      <c r="E199" s="23">
        <v>25</v>
      </c>
      <c r="F199" s="23">
        <v>25</v>
      </c>
      <c r="G199" s="23">
        <v>12</v>
      </c>
      <c r="H199" s="23">
        <v>12</v>
      </c>
      <c r="I199" s="24" t="s">
        <v>644</v>
      </c>
      <c r="J199" s="27" t="s">
        <v>654</v>
      </c>
      <c r="K199" s="23">
        <v>3</v>
      </c>
      <c r="L199" s="23" t="s">
        <v>655</v>
      </c>
      <c r="M199" s="40" t="str">
        <f>IF(ISNUMBER(Log[[#This Row],[Day]]),TEXT(Log[[#This Row],[Day]],"0"),Log[[#This Row],[Day]])</f>
        <v>3</v>
      </c>
      <c r="N199" s="40" t="str">
        <f>_xlfn.XLOOKUP(Log[[#This Row],[Exercise]],Exercises[Exercise],Exercises[Category],"Ukendt",0)</f>
        <v>Compound</v>
      </c>
      <c r="O199" s="40" t="str">
        <f>_xlfn.XLOOKUP(Log[[#This Row],[Exercise]],Table5[Exercise],Table5[Primary],"Ukendt",0)</f>
        <v>Core</v>
      </c>
    </row>
    <row r="200" spans="1:15">
      <c r="A200" s="19" t="s">
        <v>653</v>
      </c>
      <c r="B200" s="21" t="s">
        <v>56</v>
      </c>
      <c r="C200" s="21" t="s">
        <v>143</v>
      </c>
      <c r="D200" s="21">
        <v>2</v>
      </c>
      <c r="E200" s="23">
        <v>0</v>
      </c>
      <c r="F200" s="23">
        <v>0</v>
      </c>
      <c r="G200" s="23">
        <v>6</v>
      </c>
      <c r="H200" s="23">
        <v>8</v>
      </c>
      <c r="I200" s="24" t="s">
        <v>644</v>
      </c>
      <c r="J200" s="27" t="s">
        <v>656</v>
      </c>
      <c r="K200" s="23">
        <v>3</v>
      </c>
      <c r="L200" s="23" t="s">
        <v>657</v>
      </c>
      <c r="M200" s="40" t="str">
        <f>IF(ISNUMBER(Log[[#This Row],[Day]]),TEXT(Log[[#This Row],[Day]],"0"),Log[[#This Row],[Day]])</f>
        <v>2</v>
      </c>
      <c r="N200" s="40" t="str">
        <f>_xlfn.XLOOKUP(Log[[#This Row],[Exercise]],Exercises[Exercise],Exercises[Category],"Ukendt",0)</f>
        <v>Compound</v>
      </c>
      <c r="O200" s="40" t="str">
        <f>_xlfn.XLOOKUP(Log[[#This Row],[Exercise]],Table5[Exercise],Table5[Primary],"Ukendt",0)</f>
        <v>Ukendt</v>
      </c>
    </row>
    <row r="201" spans="1:15">
      <c r="A201" s="19" t="s">
        <v>658</v>
      </c>
      <c r="B201" s="21" t="s">
        <v>56</v>
      </c>
      <c r="C201" s="21" t="s">
        <v>153</v>
      </c>
      <c r="D201" s="21">
        <v>2</v>
      </c>
      <c r="E201" s="23">
        <v>60</v>
      </c>
      <c r="F201" s="23">
        <v>70</v>
      </c>
      <c r="G201" s="23">
        <v>12</v>
      </c>
      <c r="H201" s="23">
        <v>12</v>
      </c>
      <c r="I201" s="24" t="s">
        <v>644</v>
      </c>
      <c r="J201" s="27" t="s">
        <v>659</v>
      </c>
      <c r="K201" s="23">
        <v>3</v>
      </c>
      <c r="L201" s="23" t="s">
        <v>660</v>
      </c>
      <c r="M201" s="40" t="str">
        <f>IF(ISNUMBER(Log[[#This Row],[Day]]),TEXT(Log[[#This Row],[Day]],"0"),Log[[#This Row],[Day]])</f>
        <v>2</v>
      </c>
      <c r="N201" s="40" t="str">
        <f>_xlfn.XLOOKUP(Log[[#This Row],[Exercise]],Exercises[Exercise],Exercises[Category],"Ukendt",0)</f>
        <v>Stabilization</v>
      </c>
      <c r="O201" s="40" t="str">
        <f>_xlfn.XLOOKUP(Log[[#This Row],[Exercise]],Table5[Exercise],Table5[Primary],"Ukendt",0)</f>
        <v>Ukendt</v>
      </c>
    </row>
    <row r="202" spans="1:15">
      <c r="A202" s="19" t="s">
        <v>661</v>
      </c>
      <c r="B202" s="21" t="s">
        <v>56</v>
      </c>
      <c r="C202" s="21" t="s">
        <v>131</v>
      </c>
      <c r="D202" s="21">
        <v>2</v>
      </c>
      <c r="E202" s="23">
        <v>70</v>
      </c>
      <c r="F202" s="23">
        <v>80</v>
      </c>
      <c r="G202" s="23">
        <v>12</v>
      </c>
      <c r="H202" s="23">
        <v>12</v>
      </c>
      <c r="I202" s="24" t="s">
        <v>644</v>
      </c>
      <c r="J202" s="27" t="s">
        <v>662</v>
      </c>
      <c r="K202" s="23">
        <v>3</v>
      </c>
      <c r="L202" s="23" t="s">
        <v>663</v>
      </c>
      <c r="M202" s="40" t="str">
        <f>IF(ISNUMBER(Log[[#This Row],[Day]]),TEXT(Log[[#This Row],[Day]],"0"),Log[[#This Row],[Day]])</f>
        <v>2</v>
      </c>
      <c r="N202" s="40" t="str">
        <f>_xlfn.XLOOKUP(Log[[#This Row],[Exercise]],Exercises[Exercise],Exercises[Category],"Ukendt",0)</f>
        <v>Isolation</v>
      </c>
      <c r="O202" s="40" t="str">
        <f>_xlfn.XLOOKUP(Log[[#This Row],[Exercise]],Table5[Exercise],Table5[Primary],"Ukendt",0)</f>
        <v>Ukendt</v>
      </c>
    </row>
    <row r="203" spans="1:15">
      <c r="A203" s="19" t="s">
        <v>664</v>
      </c>
      <c r="B203" s="21" t="s">
        <v>46</v>
      </c>
      <c r="C203" s="21" t="s">
        <v>181</v>
      </c>
      <c r="D203" s="21">
        <v>3</v>
      </c>
      <c r="E203" s="23">
        <v>70</v>
      </c>
      <c r="F203" s="23">
        <v>60</v>
      </c>
      <c r="G203" s="23">
        <v>12</v>
      </c>
      <c r="H203" s="23">
        <v>12</v>
      </c>
      <c r="I203" s="24" t="s">
        <v>644</v>
      </c>
      <c r="J203" s="27" t="s">
        <v>665</v>
      </c>
      <c r="K203" s="23">
        <v>3</v>
      </c>
      <c r="L203" s="23" t="s">
        <v>666</v>
      </c>
      <c r="M203" s="40" t="str">
        <f>IF(ISNUMBER(Log[[#This Row],[Day]]),TEXT(Log[[#This Row],[Day]],"0"),Log[[#This Row],[Day]])</f>
        <v>3</v>
      </c>
      <c r="N203" s="40" t="str">
        <f>_xlfn.XLOOKUP(Log[[#This Row],[Exercise]],Exercises[Exercise],Exercises[Category],"Ukendt",0)</f>
        <v>Compound</v>
      </c>
      <c r="O203" s="40" t="str">
        <f>_xlfn.XLOOKUP(Log[[#This Row],[Exercise]],Table5[Exercise],Table5[Primary],"Ukendt",0)</f>
        <v>Ukendt</v>
      </c>
    </row>
    <row r="204" spans="1:15">
      <c r="A204" s="19" t="s">
        <v>667</v>
      </c>
      <c r="B204" s="21" t="s">
        <v>46</v>
      </c>
      <c r="C204" s="21" t="s">
        <v>79</v>
      </c>
      <c r="D204" s="21">
        <v>3</v>
      </c>
      <c r="E204" s="23">
        <v>20</v>
      </c>
      <c r="F204" s="23">
        <v>20</v>
      </c>
      <c r="G204" s="23">
        <v>15</v>
      </c>
      <c r="H204" s="23">
        <v>20</v>
      </c>
      <c r="I204" s="24" t="s">
        <v>644</v>
      </c>
      <c r="J204" s="27" t="s">
        <v>668</v>
      </c>
      <c r="K204" s="23">
        <v>3</v>
      </c>
      <c r="L204" s="23" t="s">
        <v>669</v>
      </c>
      <c r="M204" s="40" t="str">
        <f>IF(ISNUMBER(Log[[#This Row],[Day]]),TEXT(Log[[#This Row],[Day]],"0"),Log[[#This Row],[Day]])</f>
        <v>3</v>
      </c>
      <c r="N204" s="40" t="str">
        <f>_xlfn.XLOOKUP(Log[[#This Row],[Exercise]],Exercises[Exercise],Exercises[Category],"Ukendt",0)</f>
        <v>Compound</v>
      </c>
      <c r="O204" s="40" t="str">
        <f>_xlfn.XLOOKUP(Log[[#This Row],[Exercise]],Table5[Exercise],Table5[Primary],"Ukendt",0)</f>
        <v>Lår</v>
      </c>
    </row>
    <row r="205" spans="1:15">
      <c r="A205" s="19" t="s">
        <v>670</v>
      </c>
      <c r="B205" s="21" t="s">
        <v>21</v>
      </c>
      <c r="C205" s="21" t="s">
        <v>97</v>
      </c>
      <c r="D205" s="21">
        <v>3</v>
      </c>
      <c r="E205" s="23">
        <v>0</v>
      </c>
      <c r="F205" s="23">
        <v>0</v>
      </c>
      <c r="G205" s="23">
        <v>12</v>
      </c>
      <c r="H205" s="23">
        <v>15</v>
      </c>
      <c r="I205" s="24" t="s">
        <v>644</v>
      </c>
      <c r="J205" s="27" t="s">
        <v>671</v>
      </c>
      <c r="K205" s="23">
        <v>3</v>
      </c>
      <c r="L205" s="23" t="s">
        <v>672</v>
      </c>
      <c r="M205" s="40" t="str">
        <f>IF(ISNUMBER(Log[[#This Row],[Day]]),TEXT(Log[[#This Row],[Day]],"0"),Log[[#This Row],[Day]])</f>
        <v>3</v>
      </c>
      <c r="N205" s="40" t="str">
        <f>_xlfn.XLOOKUP(Log[[#This Row],[Exercise]],Exercises[Exercise],Exercises[Category],"Ukendt",0)</f>
        <v>Core</v>
      </c>
      <c r="O205" s="40" t="str">
        <f>_xlfn.XLOOKUP(Log[[#This Row],[Exercise]],Table5[Exercise],Table5[Primary],"Ukendt",0)</f>
        <v>Mave</v>
      </c>
    </row>
    <row r="206" spans="1:15">
      <c r="A206" s="19" t="s">
        <v>673</v>
      </c>
      <c r="B206" s="21" t="s">
        <v>30</v>
      </c>
      <c r="C206" s="21" t="s">
        <v>75</v>
      </c>
      <c r="D206" s="21">
        <v>1</v>
      </c>
      <c r="E206" s="23">
        <v>35</v>
      </c>
      <c r="F206" s="23">
        <v>40</v>
      </c>
      <c r="G206" s="23">
        <v>12</v>
      </c>
      <c r="H206" s="23">
        <v>12</v>
      </c>
      <c r="I206" s="24" t="s">
        <v>644</v>
      </c>
      <c r="J206" s="27" t="s">
        <v>674</v>
      </c>
      <c r="K206" s="23">
        <v>3</v>
      </c>
      <c r="L206" s="23" t="s">
        <v>675</v>
      </c>
      <c r="M206" s="40" t="str">
        <f>IF(ISNUMBER(Log[[#This Row],[Day]]),TEXT(Log[[#This Row],[Day]],"0"),Log[[#This Row],[Day]])</f>
        <v>1</v>
      </c>
      <c r="N206" s="40" t="str">
        <f>_xlfn.XLOOKUP(Log[[#This Row],[Exercise]],Exercises[Exercise],Exercises[Category],"Ukendt",0)</f>
        <v>Compound</v>
      </c>
      <c r="O206" s="40" t="str">
        <f>_xlfn.XLOOKUP(Log[[#This Row],[Exercise]],Table5[Exercise],Table5[Primary],"Ukendt",0)</f>
        <v>Bryst</v>
      </c>
    </row>
    <row r="207" spans="1:15">
      <c r="A207" s="19" t="s">
        <v>676</v>
      </c>
      <c r="B207" s="21" t="s">
        <v>30</v>
      </c>
      <c r="C207" s="21" t="s">
        <v>35</v>
      </c>
      <c r="D207" s="21">
        <v>1</v>
      </c>
      <c r="E207" s="23">
        <v>0</v>
      </c>
      <c r="F207" s="23">
        <v>0</v>
      </c>
      <c r="G207" s="23">
        <v>10</v>
      </c>
      <c r="H207" s="23">
        <v>12</v>
      </c>
      <c r="I207" s="24" t="s">
        <v>644</v>
      </c>
      <c r="J207" s="27" t="s">
        <v>677</v>
      </c>
      <c r="K207" s="23">
        <v>3</v>
      </c>
      <c r="L207" s="23" t="s">
        <v>678</v>
      </c>
      <c r="M207" s="40" t="str">
        <f>IF(ISNUMBER(Log[[#This Row],[Day]]),TEXT(Log[[#This Row],[Day]],"0"),Log[[#This Row],[Day]])</f>
        <v>1</v>
      </c>
      <c r="N207" s="40" t="str">
        <f>_xlfn.XLOOKUP(Log[[#This Row],[Exercise]],Exercises[Exercise],Exercises[Category],"Ukendt",0)</f>
        <v>Compound</v>
      </c>
      <c r="O207" s="40" t="str">
        <f>_xlfn.XLOOKUP(Log[[#This Row],[Exercise]],Table5[Exercise],Table5[Primary],"Ukendt",0)</f>
        <v>Triceps</v>
      </c>
    </row>
    <row r="208" spans="1:15">
      <c r="A208" s="19" t="s">
        <v>679</v>
      </c>
      <c r="B208" s="21" t="s">
        <v>30</v>
      </c>
      <c r="C208" s="21" t="s">
        <v>41</v>
      </c>
      <c r="D208" s="21">
        <v>1</v>
      </c>
      <c r="E208" s="23">
        <v>60</v>
      </c>
      <c r="F208" s="23">
        <v>60</v>
      </c>
      <c r="G208" s="23">
        <v>11</v>
      </c>
      <c r="H208" s="23">
        <v>12</v>
      </c>
      <c r="I208" s="24" t="s">
        <v>680</v>
      </c>
      <c r="J208" s="27" t="s">
        <v>681</v>
      </c>
      <c r="K208" s="23">
        <v>3</v>
      </c>
      <c r="L208" s="23" t="s">
        <v>682</v>
      </c>
      <c r="M208" s="40" t="str">
        <f>IF(ISNUMBER(Log[[#This Row],[Day]]),TEXT(Log[[#This Row],[Day]],"0"),Log[[#This Row],[Day]])</f>
        <v>1</v>
      </c>
      <c r="N208" s="40" t="str">
        <f>_xlfn.XLOOKUP(Log[[#This Row],[Exercise]],Exercises[Exercise],Exercises[Category],"Ukendt",0)</f>
        <v>Compound</v>
      </c>
      <c r="O208" s="40" t="str">
        <f>_xlfn.XLOOKUP(Log[[#This Row],[Exercise]],Table5[Exercise],Table5[Primary],"Ukendt",0)</f>
        <v>Bryst</v>
      </c>
    </row>
    <row r="209" spans="1:15">
      <c r="A209" s="19" t="s">
        <v>679</v>
      </c>
      <c r="B209" s="21" t="s">
        <v>21</v>
      </c>
      <c r="C209" s="21" t="s">
        <v>157</v>
      </c>
      <c r="D209" s="21" t="s">
        <v>156</v>
      </c>
      <c r="E209" s="23"/>
      <c r="F209" s="23"/>
      <c r="G209" s="23">
        <v>3</v>
      </c>
      <c r="H209" s="23">
        <v>3</v>
      </c>
      <c r="I209" s="24" t="s">
        <v>680</v>
      </c>
      <c r="J209" s="27" t="s">
        <v>683</v>
      </c>
      <c r="K209" s="23">
        <v>1</v>
      </c>
      <c r="L209" s="23" t="s">
        <v>684</v>
      </c>
      <c r="M209" s="40" t="str">
        <f>IF(ISNUMBER(Log[[#This Row],[Day]]),TEXT(Log[[#This Row],[Day]],"0"),Log[[#This Row],[Day]])</f>
        <v>O</v>
      </c>
      <c r="N209" s="40" t="str">
        <f>_xlfn.XLOOKUP(Log[[#This Row],[Exercise]],Exercises[Exercise],Exercises[Category],"Ukendt",0)</f>
        <v>Compound</v>
      </c>
      <c r="O209" s="40" t="str">
        <f>_xlfn.XLOOKUP(Log[[#This Row],[Exercise]],Table5[Exercise],Table5[Primary],"Ukendt",0)</f>
        <v>Ukendt</v>
      </c>
    </row>
    <row r="210" spans="1:15">
      <c r="A210" s="19" t="s">
        <v>685</v>
      </c>
      <c r="B210" s="21" t="s">
        <v>56</v>
      </c>
      <c r="C210" s="21" t="s">
        <v>206</v>
      </c>
      <c r="D210" s="21">
        <v>9</v>
      </c>
      <c r="E210" s="23">
        <v>60</v>
      </c>
      <c r="F210" s="23">
        <v>60</v>
      </c>
      <c r="G210" s="23">
        <v>6</v>
      </c>
      <c r="H210" s="23">
        <v>8</v>
      </c>
      <c r="I210" s="24" t="s">
        <v>680</v>
      </c>
      <c r="J210" s="27" t="s">
        <v>686</v>
      </c>
      <c r="K210" s="23">
        <v>3</v>
      </c>
      <c r="L210" s="23" t="s">
        <v>687</v>
      </c>
      <c r="M210" s="40" t="str">
        <f>IF(ISNUMBER(Log[[#This Row],[Day]]),TEXT(Log[[#This Row],[Day]],"0"),Log[[#This Row],[Day]])</f>
        <v>9</v>
      </c>
      <c r="N210" s="40" t="str">
        <f>_xlfn.XLOOKUP(Log[[#This Row],[Exercise]],Exercises[Exercise],Exercises[Category],"Ukendt",0)</f>
        <v>Compound</v>
      </c>
      <c r="O210" s="40" t="str">
        <f>_xlfn.XLOOKUP(Log[[#This Row],[Exercise]],Table5[Exercise],Table5[Primary],"Ukendt",0)</f>
        <v>Ukendt</v>
      </c>
    </row>
    <row r="211" spans="1:15">
      <c r="A211" s="19" t="s">
        <v>688</v>
      </c>
      <c r="B211" s="21" t="s">
        <v>21</v>
      </c>
      <c r="C211" s="21" t="s">
        <v>88</v>
      </c>
      <c r="D211" s="21">
        <v>3</v>
      </c>
      <c r="E211" s="23">
        <v>35</v>
      </c>
      <c r="F211" s="23">
        <v>40</v>
      </c>
      <c r="G211" s="23">
        <v>3</v>
      </c>
      <c r="H211" s="23">
        <v>3</v>
      </c>
      <c r="I211" s="24" t="s">
        <v>680</v>
      </c>
      <c r="J211" s="27" t="s">
        <v>689</v>
      </c>
      <c r="K211" s="23">
        <v>3</v>
      </c>
      <c r="L211" s="23" t="s">
        <v>690</v>
      </c>
      <c r="M211" s="40" t="str">
        <f>IF(ISNUMBER(Log[[#This Row],[Day]]),TEXT(Log[[#This Row],[Day]],"0"),Log[[#This Row],[Day]])</f>
        <v>3</v>
      </c>
      <c r="N211" s="40" t="str">
        <f>_xlfn.XLOOKUP(Log[[#This Row],[Exercise]],Exercises[Exercise],Exercises[Category],"Ukendt",0)</f>
        <v>Stabilization</v>
      </c>
      <c r="O211" s="40" t="str">
        <f>_xlfn.XLOOKUP(Log[[#This Row],[Exercise]],Table5[Exercise],Table5[Primary],"Ukendt",0)</f>
        <v>Core</v>
      </c>
    </row>
    <row r="212" spans="1:15">
      <c r="A212" s="19" t="s">
        <v>691</v>
      </c>
      <c r="B212" s="21" t="s">
        <v>56</v>
      </c>
      <c r="C212" s="21" t="s">
        <v>83</v>
      </c>
      <c r="D212" s="21">
        <v>2</v>
      </c>
      <c r="E212" s="23" t="s">
        <v>84</v>
      </c>
      <c r="F212" s="23" t="s">
        <v>84</v>
      </c>
      <c r="G212" s="23">
        <v>12</v>
      </c>
      <c r="H212" s="23">
        <v>12</v>
      </c>
      <c r="I212" s="24" t="s">
        <v>680</v>
      </c>
      <c r="J212" s="27" t="s">
        <v>692</v>
      </c>
      <c r="K212" s="23">
        <v>3</v>
      </c>
      <c r="L212" s="23" t="s">
        <v>693</v>
      </c>
      <c r="M212" s="40" t="str">
        <f>IF(ISNUMBER(Log[[#This Row],[Day]]),TEXT(Log[[#This Row],[Day]],"0"),Log[[#This Row],[Day]])</f>
        <v>2</v>
      </c>
      <c r="N212" s="40" t="str">
        <f>_xlfn.XLOOKUP(Log[[#This Row],[Exercise]],Exercises[Exercise],Exercises[Category],"Ukendt",0)</f>
        <v>Compound</v>
      </c>
      <c r="O212" s="40" t="str">
        <f>_xlfn.XLOOKUP(Log[[#This Row],[Exercise]],Table5[Exercise],Table5[Primary],"Ukendt",0)</f>
        <v>Ryg</v>
      </c>
    </row>
    <row r="213" spans="1:15">
      <c r="A213" s="19" t="s">
        <v>691</v>
      </c>
      <c r="B213" s="21" t="s">
        <v>56</v>
      </c>
      <c r="C213" s="21" t="s">
        <v>150</v>
      </c>
      <c r="D213" s="21">
        <v>2</v>
      </c>
      <c r="E213" s="23">
        <v>30</v>
      </c>
      <c r="F213" s="23">
        <v>30</v>
      </c>
      <c r="G213" s="23">
        <v>12</v>
      </c>
      <c r="H213" s="23">
        <v>12</v>
      </c>
      <c r="I213" s="24" t="s">
        <v>680</v>
      </c>
      <c r="J213" s="27" t="s">
        <v>694</v>
      </c>
      <c r="K213" s="23">
        <v>3</v>
      </c>
      <c r="L213" s="23" t="s">
        <v>695</v>
      </c>
      <c r="M213" s="40" t="str">
        <f>IF(ISNUMBER(Log[[#This Row],[Day]]),TEXT(Log[[#This Row],[Day]],"0"),Log[[#This Row],[Day]])</f>
        <v>2</v>
      </c>
      <c r="N213" s="40" t="str">
        <f>_xlfn.XLOOKUP(Log[[#This Row],[Exercise]],Exercises[Exercise],Exercises[Category],"Ukendt",0)</f>
        <v>Isolation</v>
      </c>
      <c r="O213" s="40" t="str">
        <f>_xlfn.XLOOKUP(Log[[#This Row],[Exercise]],Table5[Exercise],Table5[Primary],"Ukendt",0)</f>
        <v>Ukendt</v>
      </c>
    </row>
    <row r="214" spans="1:15">
      <c r="A214" s="19" t="s">
        <v>691</v>
      </c>
      <c r="B214" s="21" t="s">
        <v>56</v>
      </c>
      <c r="C214" s="21" t="s">
        <v>174</v>
      </c>
      <c r="D214" s="21">
        <v>2</v>
      </c>
      <c r="E214" s="23" t="s">
        <v>84</v>
      </c>
      <c r="F214" s="23" t="s">
        <v>84</v>
      </c>
      <c r="G214" s="23">
        <v>12</v>
      </c>
      <c r="H214" s="23">
        <v>12</v>
      </c>
      <c r="I214" s="24" t="s">
        <v>680</v>
      </c>
      <c r="J214" s="27" t="s">
        <v>696</v>
      </c>
      <c r="K214" s="23">
        <v>3</v>
      </c>
      <c r="L214" s="23" t="s">
        <v>697</v>
      </c>
      <c r="M214" s="40" t="str">
        <f>IF(ISNUMBER(Log[[#This Row],[Day]]),TEXT(Log[[#This Row],[Day]],"0"),Log[[#This Row],[Day]])</f>
        <v>2</v>
      </c>
      <c r="N214" s="40" t="str">
        <f>_xlfn.XLOOKUP(Log[[#This Row],[Exercise]],Exercises[Exercise],Exercises[Category],"Ukendt",0)</f>
        <v>Compound</v>
      </c>
      <c r="O214" s="40" t="str">
        <f>_xlfn.XLOOKUP(Log[[#This Row],[Exercise]],Table5[Exercise],Table5[Primary],"Ukendt",0)</f>
        <v>Ukendt</v>
      </c>
    </row>
    <row r="215" spans="1:15">
      <c r="A215" s="19" t="s">
        <v>698</v>
      </c>
      <c r="B215" s="21" t="s">
        <v>56</v>
      </c>
      <c r="C215" s="21" t="s">
        <v>59</v>
      </c>
      <c r="D215" s="21">
        <v>2</v>
      </c>
      <c r="E215" s="23">
        <v>35</v>
      </c>
      <c r="F215" s="23">
        <v>35</v>
      </c>
      <c r="G215" s="23">
        <v>12</v>
      </c>
      <c r="H215" s="23">
        <v>12</v>
      </c>
      <c r="I215" s="24" t="s">
        <v>680</v>
      </c>
      <c r="J215" s="27" t="s">
        <v>699</v>
      </c>
      <c r="K215" s="23">
        <v>3</v>
      </c>
      <c r="L215" s="23" t="s">
        <v>700</v>
      </c>
      <c r="M215" s="40" t="str">
        <f>IF(ISNUMBER(Log[[#This Row],[Day]]),TEXT(Log[[#This Row],[Day]],"0"),Log[[#This Row],[Day]])</f>
        <v>2</v>
      </c>
      <c r="N215" s="40" t="str">
        <f>_xlfn.XLOOKUP(Log[[#This Row],[Exercise]],Exercises[Exercise],Exercises[Category],"Ukendt",0)</f>
        <v>Stabilization</v>
      </c>
      <c r="O215" s="40" t="str">
        <f>_xlfn.XLOOKUP(Log[[#This Row],[Exercise]],Table5[Exercise],Table5[Primary],"Ukendt",0)</f>
        <v>Rotatormanchet</v>
      </c>
    </row>
    <row r="216" spans="1:15">
      <c r="A216" s="19" t="s">
        <v>701</v>
      </c>
      <c r="B216" s="21" t="s">
        <v>56</v>
      </c>
      <c r="C216" s="21" t="s">
        <v>92</v>
      </c>
      <c r="D216" s="21" t="s">
        <v>31</v>
      </c>
      <c r="E216" s="23" t="s">
        <v>93</v>
      </c>
      <c r="F216" s="23" t="s">
        <v>93</v>
      </c>
      <c r="G216" s="23">
        <v>14</v>
      </c>
      <c r="H216" s="23">
        <v>15</v>
      </c>
      <c r="I216" s="24" t="s">
        <v>702</v>
      </c>
      <c r="J216" s="27" t="s">
        <v>703</v>
      </c>
      <c r="K216" s="23">
        <v>3</v>
      </c>
      <c r="L216" s="23" t="s">
        <v>704</v>
      </c>
      <c r="M216" s="40" t="str">
        <f>IF(ISNUMBER(Log[[#This Row],[Day]]),TEXT(Log[[#This Row],[Day]],"0"),Log[[#This Row],[Day]])</f>
        <v>H</v>
      </c>
      <c r="N216" s="40" t="str">
        <f>_xlfn.XLOOKUP(Log[[#This Row],[Exercise]],Exercises[Exercise],Exercises[Category],"Ukendt",0)</f>
        <v>Isolation</v>
      </c>
      <c r="O216" s="40" t="str">
        <f>_xlfn.XLOOKUP(Log[[#This Row],[Exercise]],Table5[Exercise],Table5[Primary],"Ukendt",0)</f>
        <v>Biceps</v>
      </c>
    </row>
    <row r="217" spans="1:15">
      <c r="A217" s="19" t="s">
        <v>701</v>
      </c>
      <c r="B217" s="21" t="s">
        <v>56</v>
      </c>
      <c r="C217" s="21" t="s">
        <v>204</v>
      </c>
      <c r="D217" s="21" t="s">
        <v>31</v>
      </c>
      <c r="E217" s="23" t="s">
        <v>93</v>
      </c>
      <c r="F217" s="23" t="s">
        <v>93</v>
      </c>
      <c r="G217" s="23">
        <v>14</v>
      </c>
      <c r="H217" s="23">
        <v>15</v>
      </c>
      <c r="I217" s="24" t="s">
        <v>702</v>
      </c>
      <c r="J217" s="27" t="s">
        <v>705</v>
      </c>
      <c r="K217" s="23"/>
      <c r="L217" s="23" t="s">
        <v>706</v>
      </c>
      <c r="M217" s="40" t="str">
        <f>IF(ISNUMBER(Log[[#This Row],[Day]]),TEXT(Log[[#This Row],[Day]],"0"),Log[[#This Row],[Day]])</f>
        <v>H</v>
      </c>
      <c r="N217" s="40" t="str">
        <f>_xlfn.XLOOKUP(Log[[#This Row],[Exercise]],Exercises[Exercise],Exercises[Category],"Ukendt",0)</f>
        <v>Isolation</v>
      </c>
      <c r="O217" s="40" t="str">
        <f>_xlfn.XLOOKUP(Log[[#This Row],[Exercise]],Table5[Exercise],Table5[Primary],"Ukendt",0)</f>
        <v>Ukendt</v>
      </c>
    </row>
    <row r="218" spans="1:15">
      <c r="A218" s="19" t="s">
        <v>707</v>
      </c>
      <c r="B218" s="21" t="s">
        <v>21</v>
      </c>
      <c r="C218" s="21" t="s">
        <v>187</v>
      </c>
      <c r="D218" s="21" t="s">
        <v>31</v>
      </c>
      <c r="E218" s="23"/>
      <c r="F218" s="23">
        <v>2260</v>
      </c>
      <c r="G218" s="23">
        <v>45</v>
      </c>
      <c r="H218" s="23">
        <v>45</v>
      </c>
      <c r="I218" s="24" t="s">
        <v>702</v>
      </c>
      <c r="J218" s="27" t="s">
        <v>708</v>
      </c>
      <c r="K218" s="23">
        <v>1</v>
      </c>
      <c r="L218" s="23" t="s">
        <v>709</v>
      </c>
      <c r="M218" s="40" t="str">
        <f>IF(ISNUMBER(Log[[#This Row],[Day]]),TEXT(Log[[#This Row],[Day]],"0"),Log[[#This Row],[Day]])</f>
        <v>H</v>
      </c>
      <c r="N218" s="40" t="str">
        <f>_xlfn.XLOOKUP(Log[[#This Row],[Exercise]],Exercises[Exercise],Exercises[Category],"Ukendt",0)</f>
        <v>Isolation</v>
      </c>
      <c r="O218" s="40" t="str">
        <f>_xlfn.XLOOKUP(Log[[#This Row],[Exercise]],Table5[Exercise],Table5[Primary],"Ukendt",0)</f>
        <v>Ukendt</v>
      </c>
    </row>
    <row r="219" spans="1:15">
      <c r="A219" s="19" t="s">
        <v>707</v>
      </c>
      <c r="B219" s="21" t="s">
        <v>30</v>
      </c>
      <c r="C219" s="21" t="s">
        <v>32</v>
      </c>
      <c r="D219" s="21" t="s">
        <v>31</v>
      </c>
      <c r="E219" s="23"/>
      <c r="F219" s="23"/>
      <c r="G219" s="23">
        <v>15</v>
      </c>
      <c r="H219" s="23">
        <v>20</v>
      </c>
      <c r="I219" s="24" t="s">
        <v>702</v>
      </c>
      <c r="J219" s="27" t="s">
        <v>710</v>
      </c>
      <c r="K219" s="23">
        <v>3</v>
      </c>
      <c r="L219" s="23" t="s">
        <v>711</v>
      </c>
      <c r="M219" s="40" t="str">
        <f>IF(ISNUMBER(Log[[#This Row],[Day]]),TEXT(Log[[#This Row],[Day]],"0"),Log[[#This Row],[Day]])</f>
        <v>H</v>
      </c>
      <c r="N219" s="40" t="str">
        <f>_xlfn.XLOOKUP(Log[[#This Row],[Exercise]],Exercises[Exercise],Exercises[Category],"Ukendt",0)</f>
        <v>Isolation</v>
      </c>
      <c r="O219" s="40" t="str">
        <f>_xlfn.XLOOKUP(Log[[#This Row],[Exercise]],Table5[Exercise],Table5[Primary],"Ukendt",0)</f>
        <v>Bryst</v>
      </c>
    </row>
    <row r="220" spans="1:15">
      <c r="A220" s="19" t="s">
        <v>712</v>
      </c>
      <c r="B220" s="21" t="s">
        <v>21</v>
      </c>
      <c r="C220" s="21" t="s">
        <v>157</v>
      </c>
      <c r="D220" s="21" t="s">
        <v>156</v>
      </c>
      <c r="E220" s="23"/>
      <c r="F220" s="23">
        <v>630</v>
      </c>
      <c r="G220" s="23">
        <v>3</v>
      </c>
      <c r="H220" s="23">
        <v>3</v>
      </c>
      <c r="I220" s="24" t="s">
        <v>713</v>
      </c>
      <c r="J220" s="27" t="s">
        <v>714</v>
      </c>
      <c r="K220" s="23">
        <v>1</v>
      </c>
      <c r="L220" s="23" t="s">
        <v>715</v>
      </c>
      <c r="M220" s="40" t="str">
        <f>IF(ISNUMBER(Log[[#This Row],[Day]]),TEXT(Log[[#This Row],[Day]],"0"),Log[[#This Row],[Day]])</f>
        <v>O</v>
      </c>
      <c r="N220" s="40" t="str">
        <f>_xlfn.XLOOKUP(Log[[#This Row],[Exercise]],Exercises[Exercise],Exercises[Category],"Ukendt",0)</f>
        <v>Compound</v>
      </c>
      <c r="O220" s="40" t="str">
        <f>_xlfn.XLOOKUP(Log[[#This Row],[Exercise]],Table5[Exercise],Table5[Primary],"Ukendt",0)</f>
        <v>Ukendt</v>
      </c>
    </row>
    <row r="221" spans="1:15">
      <c r="A221" s="19" t="s">
        <v>716</v>
      </c>
      <c r="B221" s="21" t="s">
        <v>46</v>
      </c>
      <c r="C221" s="21" t="s">
        <v>79</v>
      </c>
      <c r="D221" s="21">
        <v>3</v>
      </c>
      <c r="E221" s="23">
        <v>20</v>
      </c>
      <c r="F221" s="23">
        <v>20</v>
      </c>
      <c r="G221" s="23">
        <v>20</v>
      </c>
      <c r="H221" s="23">
        <v>20</v>
      </c>
      <c r="I221" s="24" t="s">
        <v>713</v>
      </c>
      <c r="J221" s="27" t="s">
        <v>717</v>
      </c>
      <c r="K221" s="23">
        <v>3</v>
      </c>
      <c r="L221" s="23" t="s">
        <v>718</v>
      </c>
      <c r="M221" s="40" t="str">
        <f>IF(ISNUMBER(Log[[#This Row],[Day]]),TEXT(Log[[#This Row],[Day]],"0"),Log[[#This Row],[Day]])</f>
        <v>3</v>
      </c>
      <c r="N221" s="40" t="str">
        <f>_xlfn.XLOOKUP(Log[[#This Row],[Exercise]],Exercises[Exercise],Exercises[Category],"Ukendt",0)</f>
        <v>Compound</v>
      </c>
      <c r="O221" s="40" t="str">
        <f>_xlfn.XLOOKUP(Log[[#This Row],[Exercise]],Table5[Exercise],Table5[Primary],"Ukendt",0)</f>
        <v>Lår</v>
      </c>
    </row>
    <row r="222" spans="1:15">
      <c r="A222" s="19" t="s">
        <v>719</v>
      </c>
      <c r="B222" s="21" t="s">
        <v>46</v>
      </c>
      <c r="C222" s="21" t="s">
        <v>181</v>
      </c>
      <c r="D222" s="21">
        <v>3</v>
      </c>
      <c r="E222" s="23">
        <v>60</v>
      </c>
      <c r="F222" s="23">
        <v>60</v>
      </c>
      <c r="G222" s="23">
        <v>12</v>
      </c>
      <c r="H222" s="23">
        <v>12</v>
      </c>
      <c r="I222" s="24" t="s">
        <v>713</v>
      </c>
      <c r="J222" s="27" t="s">
        <v>720</v>
      </c>
      <c r="K222" s="23">
        <v>3</v>
      </c>
      <c r="L222" s="23" t="s">
        <v>721</v>
      </c>
      <c r="M222" s="40" t="str">
        <f>IF(ISNUMBER(Log[[#This Row],[Day]]),TEXT(Log[[#This Row],[Day]],"0"),Log[[#This Row],[Day]])</f>
        <v>3</v>
      </c>
      <c r="N222" s="40" t="str">
        <f>_xlfn.XLOOKUP(Log[[#This Row],[Exercise]],Exercises[Exercise],Exercises[Category],"Ukendt",0)</f>
        <v>Compound</v>
      </c>
      <c r="O222" s="40" t="str">
        <f>_xlfn.XLOOKUP(Log[[#This Row],[Exercise]],Table5[Exercise],Table5[Primary],"Ukendt",0)</f>
        <v>Ukendt</v>
      </c>
    </row>
    <row r="223" spans="1:15">
      <c r="A223" s="19" t="s">
        <v>722</v>
      </c>
      <c r="B223" s="21" t="s">
        <v>56</v>
      </c>
      <c r="C223" s="21" t="s">
        <v>143</v>
      </c>
      <c r="D223" s="21">
        <v>2</v>
      </c>
      <c r="E223" s="23">
        <v>0</v>
      </c>
      <c r="F223" s="23">
        <v>0</v>
      </c>
      <c r="G223" s="23">
        <v>8</v>
      </c>
      <c r="H223" s="23">
        <v>8</v>
      </c>
      <c r="I223" s="24" t="s">
        <v>713</v>
      </c>
      <c r="J223" s="27" t="s">
        <v>723</v>
      </c>
      <c r="K223" s="23">
        <v>3</v>
      </c>
      <c r="L223" s="23" t="s">
        <v>724</v>
      </c>
      <c r="M223" s="40" t="str">
        <f>IF(ISNUMBER(Log[[#This Row],[Day]]),TEXT(Log[[#This Row],[Day]],"0"),Log[[#This Row],[Day]])</f>
        <v>2</v>
      </c>
      <c r="N223" s="40" t="str">
        <f>_xlfn.XLOOKUP(Log[[#This Row],[Exercise]],Exercises[Exercise],Exercises[Category],"Ukendt",0)</f>
        <v>Compound</v>
      </c>
      <c r="O223" s="40" t="str">
        <f>_xlfn.XLOOKUP(Log[[#This Row],[Exercise]],Table5[Exercise],Table5[Primary],"Ukendt",0)</f>
        <v>Ukendt</v>
      </c>
    </row>
    <row r="224" spans="1:15">
      <c r="A224" s="19" t="s">
        <v>725</v>
      </c>
      <c r="B224" s="21" t="s">
        <v>21</v>
      </c>
      <c r="C224" s="21" t="s">
        <v>97</v>
      </c>
      <c r="D224" s="21">
        <v>3</v>
      </c>
      <c r="E224" s="23">
        <v>0</v>
      </c>
      <c r="F224" s="23">
        <v>0</v>
      </c>
      <c r="G224" s="23">
        <v>15</v>
      </c>
      <c r="H224" s="23">
        <v>15</v>
      </c>
      <c r="I224" s="24" t="s">
        <v>713</v>
      </c>
      <c r="J224" s="27" t="s">
        <v>726</v>
      </c>
      <c r="K224" s="23">
        <v>3</v>
      </c>
      <c r="L224" s="23" t="s">
        <v>727</v>
      </c>
      <c r="M224" s="40" t="str">
        <f>IF(ISNUMBER(Log[[#This Row],[Day]]),TEXT(Log[[#This Row],[Day]],"0"),Log[[#This Row],[Day]])</f>
        <v>3</v>
      </c>
      <c r="N224" s="40" t="str">
        <f>_xlfn.XLOOKUP(Log[[#This Row],[Exercise]],Exercises[Exercise],Exercises[Category],"Ukendt",0)</f>
        <v>Core</v>
      </c>
      <c r="O224" s="40" t="str">
        <f>_xlfn.XLOOKUP(Log[[#This Row],[Exercise]],Table5[Exercise],Table5[Primary],"Ukendt",0)</f>
        <v>Mave</v>
      </c>
    </row>
    <row r="225" spans="1:15">
      <c r="A225" s="19" t="s">
        <v>725</v>
      </c>
      <c r="B225" s="21" t="s">
        <v>46</v>
      </c>
      <c r="C225" s="21" t="s">
        <v>115</v>
      </c>
      <c r="D225" s="21">
        <v>3</v>
      </c>
      <c r="E225" s="23">
        <v>115</v>
      </c>
      <c r="F225" s="23">
        <v>130</v>
      </c>
      <c r="G225" s="23">
        <v>12</v>
      </c>
      <c r="H225" s="23">
        <v>12</v>
      </c>
      <c r="I225" s="24" t="s">
        <v>713</v>
      </c>
      <c r="J225" s="27" t="s">
        <v>728</v>
      </c>
      <c r="K225" s="23">
        <v>3</v>
      </c>
      <c r="L225" s="23" t="s">
        <v>729</v>
      </c>
      <c r="M225" s="40" t="str">
        <f>IF(ISNUMBER(Log[[#This Row],[Day]]),TEXT(Log[[#This Row],[Day]],"0"),Log[[#This Row],[Day]])</f>
        <v>3</v>
      </c>
      <c r="N225" s="40" t="str">
        <f>_xlfn.XLOOKUP(Log[[#This Row],[Exercise]],Exercises[Exercise],Exercises[Category],"Ukendt",0)</f>
        <v>Isolation</v>
      </c>
      <c r="O225" s="40" t="str">
        <f>_xlfn.XLOOKUP(Log[[#This Row],[Exercise]],Table5[Exercise],Table5[Primary],"Ukendt",0)</f>
        <v>Lår</v>
      </c>
    </row>
    <row r="226" spans="1:15">
      <c r="A226" s="19" t="s">
        <v>730</v>
      </c>
      <c r="B226" s="21" t="s">
        <v>30</v>
      </c>
      <c r="C226" s="21" t="s">
        <v>32</v>
      </c>
      <c r="D226" s="21" t="s">
        <v>31</v>
      </c>
      <c r="E226" s="23"/>
      <c r="F226" s="23"/>
      <c r="G226" s="23">
        <v>20</v>
      </c>
      <c r="H226" s="23">
        <v>20</v>
      </c>
      <c r="I226" s="24" t="s">
        <v>731</v>
      </c>
      <c r="J226" s="27" t="s">
        <v>732</v>
      </c>
      <c r="K226" s="23">
        <v>3</v>
      </c>
      <c r="L226" s="23" t="s">
        <v>733</v>
      </c>
      <c r="M226" s="40" t="str">
        <f>IF(ISNUMBER(Log[[#This Row],[Day]]),TEXT(Log[[#This Row],[Day]],"0"),Log[[#This Row],[Day]])</f>
        <v>H</v>
      </c>
      <c r="N226" s="40" t="str">
        <f>_xlfn.XLOOKUP(Log[[#This Row],[Exercise]],Exercises[Exercise],Exercises[Category],"Ukendt",0)</f>
        <v>Isolation</v>
      </c>
      <c r="O226" s="40" t="str">
        <f>_xlfn.XLOOKUP(Log[[#This Row],[Exercise]],Table5[Exercise],Table5[Primary],"Ukendt",0)</f>
        <v>Bryst</v>
      </c>
    </row>
    <row r="227" spans="1:15">
      <c r="A227" s="19" t="s">
        <v>734</v>
      </c>
      <c r="B227" s="21" t="s">
        <v>21</v>
      </c>
      <c r="C227" s="21" t="s">
        <v>134</v>
      </c>
      <c r="D227" s="21" t="s">
        <v>31</v>
      </c>
      <c r="E227" s="23">
        <v>0</v>
      </c>
      <c r="F227" s="23">
        <v>0</v>
      </c>
      <c r="G227" s="23">
        <v>60</v>
      </c>
      <c r="H227" s="23">
        <v>60</v>
      </c>
      <c r="I227" s="24" t="s">
        <v>731</v>
      </c>
      <c r="J227" s="27" t="s">
        <v>735</v>
      </c>
      <c r="K227" s="23">
        <v>3</v>
      </c>
      <c r="L227" s="23" t="s">
        <v>736</v>
      </c>
      <c r="M227" s="40" t="str">
        <f>IF(ISNUMBER(Log[[#This Row],[Day]]),TEXT(Log[[#This Row],[Day]],"0"),Log[[#This Row],[Day]])</f>
        <v>H</v>
      </c>
      <c r="N227" s="40" t="str">
        <f>_xlfn.XLOOKUP(Log[[#This Row],[Exercise]],Exercises[Exercise],Exercises[Category],"Ukendt",0)</f>
        <v>Core</v>
      </c>
      <c r="O227" s="40" t="str">
        <f>_xlfn.XLOOKUP(Log[[#This Row],[Exercise]],Table5[Exercise],Table5[Primary],"Ukendt",0)</f>
        <v>Ukendt</v>
      </c>
    </row>
    <row r="228" spans="1:15">
      <c r="A228" s="19" t="s">
        <v>734</v>
      </c>
      <c r="B228" s="21" t="s">
        <v>21</v>
      </c>
      <c r="C228" s="21" t="s">
        <v>187</v>
      </c>
      <c r="D228" s="21" t="s">
        <v>31</v>
      </c>
      <c r="E228" s="23">
        <v>2260</v>
      </c>
      <c r="F228" s="23">
        <v>1519</v>
      </c>
      <c r="G228" s="23">
        <v>45</v>
      </c>
      <c r="H228" s="23">
        <v>30</v>
      </c>
      <c r="I228" s="24" t="s">
        <v>731</v>
      </c>
      <c r="J228" s="27" t="s">
        <v>737</v>
      </c>
      <c r="K228" s="23">
        <v>1</v>
      </c>
      <c r="L228" s="23" t="s">
        <v>738</v>
      </c>
      <c r="M228" s="40" t="str">
        <f>IF(ISNUMBER(Log[[#This Row],[Day]]),TEXT(Log[[#This Row],[Day]],"0"),Log[[#This Row],[Day]])</f>
        <v>H</v>
      </c>
      <c r="N228" s="40" t="str">
        <f>_xlfn.XLOOKUP(Log[[#This Row],[Exercise]],Exercises[Exercise],Exercises[Category],"Ukendt",0)</f>
        <v>Isolation</v>
      </c>
      <c r="O228" s="40" t="str">
        <f>_xlfn.XLOOKUP(Log[[#This Row],[Exercise]],Table5[Exercise],Table5[Primary],"Ukendt",0)</f>
        <v>Ukendt</v>
      </c>
    </row>
    <row r="229" spans="1:15">
      <c r="A229" s="19" t="s">
        <v>734</v>
      </c>
      <c r="B229" s="21" t="s">
        <v>56</v>
      </c>
      <c r="C229" s="21" t="s">
        <v>92</v>
      </c>
      <c r="D229" s="21" t="s">
        <v>31</v>
      </c>
      <c r="E229" s="23" t="s">
        <v>93</v>
      </c>
      <c r="F229" s="23" t="s">
        <v>93</v>
      </c>
      <c r="G229" s="23">
        <v>15</v>
      </c>
      <c r="H229" s="23">
        <v>15</v>
      </c>
      <c r="I229" s="24" t="s">
        <v>731</v>
      </c>
      <c r="J229" s="27" t="s">
        <v>739</v>
      </c>
      <c r="K229" s="23">
        <v>3</v>
      </c>
      <c r="L229" s="23" t="s">
        <v>740</v>
      </c>
      <c r="M229" s="40" t="str">
        <f>IF(ISNUMBER(Log[[#This Row],[Day]]),TEXT(Log[[#This Row],[Day]],"0"),Log[[#This Row],[Day]])</f>
        <v>H</v>
      </c>
      <c r="N229" s="40" t="str">
        <f>_xlfn.XLOOKUP(Log[[#This Row],[Exercise]],Exercises[Exercise],Exercises[Category],"Ukendt",0)</f>
        <v>Isolation</v>
      </c>
      <c r="O229" s="40" t="str">
        <f>_xlfn.XLOOKUP(Log[[#This Row],[Exercise]],Table5[Exercise],Table5[Primary],"Ukendt",0)</f>
        <v>Biceps</v>
      </c>
    </row>
    <row r="230" spans="1:15">
      <c r="A230" s="19" t="s">
        <v>741</v>
      </c>
      <c r="B230" s="21" t="s">
        <v>21</v>
      </c>
      <c r="C230" s="21" t="s">
        <v>157</v>
      </c>
      <c r="D230" s="21" t="s">
        <v>156</v>
      </c>
      <c r="E230" s="23">
        <v>630</v>
      </c>
      <c r="F230" s="23">
        <v>658</v>
      </c>
      <c r="G230" s="23">
        <v>3</v>
      </c>
      <c r="H230" s="23">
        <v>3</v>
      </c>
      <c r="I230" s="24" t="s">
        <v>742</v>
      </c>
      <c r="J230" s="27" t="s">
        <v>743</v>
      </c>
      <c r="K230" s="23">
        <v>1</v>
      </c>
      <c r="L230" s="23" t="s">
        <v>744</v>
      </c>
      <c r="M230" s="40" t="str">
        <f>IF(ISNUMBER(Log[[#This Row],[Day]]),TEXT(Log[[#This Row],[Day]],"0"),Log[[#This Row],[Day]])</f>
        <v>O</v>
      </c>
      <c r="N230" s="40" t="str">
        <f>_xlfn.XLOOKUP(Log[[#This Row],[Exercise]],Exercises[Exercise],Exercises[Category],"Ukendt",0)</f>
        <v>Compound</v>
      </c>
      <c r="O230" s="40" t="str">
        <f>_xlfn.XLOOKUP(Log[[#This Row],[Exercise]],Table5[Exercise],Table5[Primary],"Ukendt",0)</f>
        <v>Ukendt</v>
      </c>
    </row>
    <row r="231" spans="1:15">
      <c r="A231" s="19" t="s">
        <v>745</v>
      </c>
      <c r="B231" s="21" t="s">
        <v>30</v>
      </c>
      <c r="C231" s="21" t="s">
        <v>41</v>
      </c>
      <c r="D231" s="21">
        <v>1</v>
      </c>
      <c r="E231" s="23">
        <v>60</v>
      </c>
      <c r="F231" s="23">
        <v>70</v>
      </c>
      <c r="G231" s="23">
        <v>12</v>
      </c>
      <c r="H231" s="23">
        <v>6</v>
      </c>
      <c r="I231" s="24" t="s">
        <v>742</v>
      </c>
      <c r="J231" s="27" t="s">
        <v>746</v>
      </c>
      <c r="K231" s="23">
        <v>3</v>
      </c>
      <c r="L231" s="23" t="s">
        <v>747</v>
      </c>
      <c r="M231" s="40" t="str">
        <f>IF(ISNUMBER(Log[[#This Row],[Day]]),TEXT(Log[[#This Row],[Day]],"0"),Log[[#This Row],[Day]])</f>
        <v>1</v>
      </c>
      <c r="N231" s="40" t="str">
        <f>_xlfn.XLOOKUP(Log[[#This Row],[Exercise]],Exercises[Exercise],Exercises[Category],"Ukendt",0)</f>
        <v>Compound</v>
      </c>
      <c r="O231" s="40" t="str">
        <f>_xlfn.XLOOKUP(Log[[#This Row],[Exercise]],Table5[Exercise],Table5[Primary],"Ukendt",0)</f>
        <v>Bryst</v>
      </c>
    </row>
    <row r="232" spans="1:15">
      <c r="A232" s="19" t="s">
        <v>748</v>
      </c>
      <c r="B232" s="21" t="s">
        <v>21</v>
      </c>
      <c r="C232" s="21" t="s">
        <v>88</v>
      </c>
      <c r="D232" s="21">
        <v>3</v>
      </c>
      <c r="E232" s="23">
        <v>40</v>
      </c>
      <c r="F232" s="23">
        <v>40</v>
      </c>
      <c r="G232" s="23">
        <v>3</v>
      </c>
      <c r="H232" s="23">
        <v>3</v>
      </c>
      <c r="I232" s="24" t="s">
        <v>742</v>
      </c>
      <c r="J232" s="27" t="s">
        <v>749</v>
      </c>
      <c r="K232" s="23">
        <v>3</v>
      </c>
      <c r="L232" s="23" t="s">
        <v>750</v>
      </c>
      <c r="M232" s="40" t="str">
        <f>IF(ISNUMBER(Log[[#This Row],[Day]]),TEXT(Log[[#This Row],[Day]],"0"),Log[[#This Row],[Day]])</f>
        <v>3</v>
      </c>
      <c r="N232" s="40" t="str">
        <f>_xlfn.XLOOKUP(Log[[#This Row],[Exercise]],Exercises[Exercise],Exercises[Category],"Ukendt",0)</f>
        <v>Stabilization</v>
      </c>
      <c r="O232" s="40" t="str">
        <f>_xlfn.XLOOKUP(Log[[#This Row],[Exercise]],Table5[Exercise],Table5[Primary],"Ukendt",0)</f>
        <v>Core</v>
      </c>
    </row>
    <row r="233" spans="1:15">
      <c r="A233" s="19" t="s">
        <v>751</v>
      </c>
      <c r="B233" s="21" t="s">
        <v>56</v>
      </c>
      <c r="C233" s="21" t="s">
        <v>153</v>
      </c>
      <c r="D233" s="21">
        <v>2</v>
      </c>
      <c r="E233" s="23">
        <v>70</v>
      </c>
      <c r="F233" s="23">
        <v>70</v>
      </c>
      <c r="G233" s="23">
        <v>12</v>
      </c>
      <c r="H233" s="23">
        <v>12</v>
      </c>
      <c r="I233" s="24" t="s">
        <v>742</v>
      </c>
      <c r="J233" s="27" t="s">
        <v>752</v>
      </c>
      <c r="K233" s="23">
        <v>3</v>
      </c>
      <c r="L233" s="23" t="s">
        <v>753</v>
      </c>
      <c r="M233" s="40" t="str">
        <f>IF(ISNUMBER(Log[[#This Row],[Day]]),TEXT(Log[[#This Row],[Day]],"0"),Log[[#This Row],[Day]])</f>
        <v>2</v>
      </c>
      <c r="N233" s="40" t="str">
        <f>_xlfn.XLOOKUP(Log[[#This Row],[Exercise]],Exercises[Exercise],Exercises[Category],"Ukendt",0)</f>
        <v>Stabilization</v>
      </c>
      <c r="O233" s="40" t="str">
        <f>_xlfn.XLOOKUP(Log[[#This Row],[Exercise]],Table5[Exercise],Table5[Primary],"Ukendt",0)</f>
        <v>Ukendt</v>
      </c>
    </row>
    <row r="234" spans="1:15">
      <c r="A234" s="19" t="s">
        <v>754</v>
      </c>
      <c r="B234" s="21" t="s">
        <v>46</v>
      </c>
      <c r="C234" s="21" t="s">
        <v>79</v>
      </c>
      <c r="D234" s="21">
        <v>3</v>
      </c>
      <c r="E234" s="23">
        <v>20</v>
      </c>
      <c r="F234" s="23">
        <v>20</v>
      </c>
      <c r="G234" s="23">
        <v>20</v>
      </c>
      <c r="H234" s="23">
        <v>20</v>
      </c>
      <c r="I234" s="24" t="s">
        <v>742</v>
      </c>
      <c r="J234" s="27" t="s">
        <v>755</v>
      </c>
      <c r="K234" s="23">
        <v>3</v>
      </c>
      <c r="L234" s="23" t="s">
        <v>756</v>
      </c>
      <c r="M234" s="40" t="str">
        <f>IF(ISNUMBER(Log[[#This Row],[Day]]),TEXT(Log[[#This Row],[Day]],"0"),Log[[#This Row],[Day]])</f>
        <v>3</v>
      </c>
      <c r="N234" s="40" t="str">
        <f>_xlfn.XLOOKUP(Log[[#This Row],[Exercise]],Exercises[Exercise],Exercises[Category],"Ukendt",0)</f>
        <v>Compound</v>
      </c>
      <c r="O234" s="40" t="str">
        <f>_xlfn.XLOOKUP(Log[[#This Row],[Exercise]],Table5[Exercise],Table5[Primary],"Ukendt",0)</f>
        <v>Lår</v>
      </c>
    </row>
    <row r="235" spans="1:15">
      <c r="A235" s="19" t="s">
        <v>757</v>
      </c>
      <c r="B235" s="21" t="s">
        <v>56</v>
      </c>
      <c r="C235" s="21" t="s">
        <v>143</v>
      </c>
      <c r="D235" s="21">
        <v>2</v>
      </c>
      <c r="E235" s="23">
        <v>0</v>
      </c>
      <c r="F235" s="23">
        <v>0</v>
      </c>
      <c r="G235" s="23">
        <v>8</v>
      </c>
      <c r="H235" s="23">
        <v>8</v>
      </c>
      <c r="I235" s="24" t="s">
        <v>742</v>
      </c>
      <c r="J235" s="27" t="s">
        <v>758</v>
      </c>
      <c r="K235" s="23">
        <v>3</v>
      </c>
      <c r="L235" s="23" t="s">
        <v>759</v>
      </c>
      <c r="M235" s="40" t="str">
        <f>IF(ISNUMBER(Log[[#This Row],[Day]]),TEXT(Log[[#This Row],[Day]],"0"),Log[[#This Row],[Day]])</f>
        <v>2</v>
      </c>
      <c r="N235" s="40" t="str">
        <f>_xlfn.XLOOKUP(Log[[#This Row],[Exercise]],Exercises[Exercise],Exercises[Category],"Ukendt",0)</f>
        <v>Compound</v>
      </c>
      <c r="O235" s="40" t="str">
        <f>_xlfn.XLOOKUP(Log[[#This Row],[Exercise]],Table5[Exercise],Table5[Primary],"Ukendt",0)</f>
        <v>Ukendt</v>
      </c>
    </row>
    <row r="236" spans="1:15">
      <c r="A236" s="19" t="s">
        <v>760</v>
      </c>
      <c r="B236" s="21" t="s">
        <v>46</v>
      </c>
      <c r="C236" s="21" t="s">
        <v>177</v>
      </c>
      <c r="D236" s="21">
        <v>3</v>
      </c>
      <c r="E236" s="23">
        <v>0</v>
      </c>
      <c r="F236" s="23">
        <v>0</v>
      </c>
      <c r="G236" s="23">
        <v>23</v>
      </c>
      <c r="H236" s="23">
        <v>15</v>
      </c>
      <c r="I236" s="24" t="s">
        <v>742</v>
      </c>
      <c r="J236" s="27" t="s">
        <v>761</v>
      </c>
      <c r="K236" s="23">
        <v>3</v>
      </c>
      <c r="L236" s="23" t="s">
        <v>762</v>
      </c>
      <c r="M236" s="40" t="str">
        <f>IF(ISNUMBER(Log[[#This Row],[Day]]),TEXT(Log[[#This Row],[Day]],"0"),Log[[#This Row],[Day]])</f>
        <v>3</v>
      </c>
      <c r="N236" s="40" t="str">
        <f>_xlfn.XLOOKUP(Log[[#This Row],[Exercise]],Exercises[Exercise],Exercises[Category],"Ukendt",0)</f>
        <v>Compound</v>
      </c>
      <c r="O236" s="40" t="str">
        <f>_xlfn.XLOOKUP(Log[[#This Row],[Exercise]],Table5[Exercise],Table5[Primary],"Ukendt",0)</f>
        <v>Ukendt</v>
      </c>
    </row>
    <row r="237" spans="1:15">
      <c r="A237" s="19" t="s">
        <v>763</v>
      </c>
      <c r="B237" s="21" t="s">
        <v>56</v>
      </c>
      <c r="C237" s="21" t="s">
        <v>83</v>
      </c>
      <c r="D237" s="21">
        <v>2</v>
      </c>
      <c r="E237" s="23" t="s">
        <v>84</v>
      </c>
      <c r="F237" s="23" t="s">
        <v>84</v>
      </c>
      <c r="G237" s="23">
        <v>12</v>
      </c>
      <c r="H237" s="23">
        <v>12</v>
      </c>
      <c r="I237" s="24" t="s">
        <v>742</v>
      </c>
      <c r="J237" s="27" t="s">
        <v>764</v>
      </c>
      <c r="K237" s="23">
        <v>3</v>
      </c>
      <c r="L237" s="23" t="s">
        <v>765</v>
      </c>
      <c r="M237" s="40" t="str">
        <f>IF(ISNUMBER(Log[[#This Row],[Day]]),TEXT(Log[[#This Row],[Day]],"0"),Log[[#This Row],[Day]])</f>
        <v>2</v>
      </c>
      <c r="N237" s="40" t="str">
        <f>_xlfn.XLOOKUP(Log[[#This Row],[Exercise]],Exercises[Exercise],Exercises[Category],"Ukendt",0)</f>
        <v>Compound</v>
      </c>
      <c r="O237" s="40" t="str">
        <f>_xlfn.XLOOKUP(Log[[#This Row],[Exercise]],Table5[Exercise],Table5[Primary],"Ukendt",0)</f>
        <v>Ryg</v>
      </c>
    </row>
    <row r="238" spans="1:15">
      <c r="A238" s="19" t="s">
        <v>766</v>
      </c>
      <c r="B238" s="21" t="s">
        <v>56</v>
      </c>
      <c r="C238" s="21" t="s">
        <v>160</v>
      </c>
      <c r="D238" s="21">
        <v>2</v>
      </c>
      <c r="E238" s="23">
        <v>85</v>
      </c>
      <c r="F238" s="23">
        <v>85</v>
      </c>
      <c r="G238" s="23">
        <v>12</v>
      </c>
      <c r="H238" s="23">
        <v>12</v>
      </c>
      <c r="I238" s="24" t="s">
        <v>742</v>
      </c>
      <c r="J238" s="27" t="s">
        <v>767</v>
      </c>
      <c r="K238" s="23">
        <v>3</v>
      </c>
      <c r="L238" s="23" t="s">
        <v>768</v>
      </c>
      <c r="M238" s="40" t="str">
        <f>IF(ISNUMBER(Log[[#This Row],[Day]]),TEXT(Log[[#This Row],[Day]],"0"),Log[[#This Row],[Day]])</f>
        <v>2</v>
      </c>
      <c r="N238" s="40" t="str">
        <f>_xlfn.XLOOKUP(Log[[#This Row],[Exercise]],Exercises[Exercise],Exercises[Category],"Ukendt",0)</f>
        <v>Compound</v>
      </c>
      <c r="O238" s="40" t="str">
        <f>_xlfn.XLOOKUP(Log[[#This Row],[Exercise]],Table5[Exercise],Table5[Primary],"Ukendt",0)</f>
        <v>Ukendt</v>
      </c>
    </row>
    <row r="239" spans="1:15">
      <c r="A239" s="19" t="s">
        <v>769</v>
      </c>
      <c r="B239" s="21" t="s">
        <v>30</v>
      </c>
      <c r="C239" s="21" t="s">
        <v>75</v>
      </c>
      <c r="D239" s="21">
        <v>1</v>
      </c>
      <c r="E239" s="23">
        <v>40</v>
      </c>
      <c r="F239" s="23">
        <v>40</v>
      </c>
      <c r="G239" s="23">
        <v>12</v>
      </c>
      <c r="H239" s="23">
        <v>12</v>
      </c>
      <c r="I239" s="24" t="s">
        <v>742</v>
      </c>
      <c r="J239" s="27" t="s">
        <v>770</v>
      </c>
      <c r="K239" s="23">
        <v>3</v>
      </c>
      <c r="L239" s="23" t="s">
        <v>771</v>
      </c>
      <c r="M239" s="40" t="str">
        <f>IF(ISNUMBER(Log[[#This Row],[Day]]),TEXT(Log[[#This Row],[Day]],"0"),Log[[#This Row],[Day]])</f>
        <v>1</v>
      </c>
      <c r="N239" s="40" t="str">
        <f>_xlfn.XLOOKUP(Log[[#This Row],[Exercise]],Exercises[Exercise],Exercises[Category],"Ukendt",0)</f>
        <v>Compound</v>
      </c>
      <c r="O239" s="40" t="str">
        <f>_xlfn.XLOOKUP(Log[[#This Row],[Exercise]],Table5[Exercise],Table5[Primary],"Ukendt",0)</f>
        <v>Bryst</v>
      </c>
    </row>
    <row r="240" spans="1:15">
      <c r="A240" s="19" t="s">
        <v>769</v>
      </c>
      <c r="B240" s="21" t="s">
        <v>30</v>
      </c>
      <c r="C240" s="21" t="s">
        <v>35</v>
      </c>
      <c r="D240" s="21">
        <v>1</v>
      </c>
      <c r="E240" s="23">
        <v>0</v>
      </c>
      <c r="F240" s="23">
        <v>0</v>
      </c>
      <c r="G240" s="23">
        <v>12</v>
      </c>
      <c r="H240" s="23">
        <v>12</v>
      </c>
      <c r="I240" s="24" t="s">
        <v>742</v>
      </c>
      <c r="J240" s="27" t="s">
        <v>772</v>
      </c>
      <c r="K240" s="23">
        <v>3</v>
      </c>
      <c r="L240" s="23" t="s">
        <v>773</v>
      </c>
      <c r="M240" s="40" t="str">
        <f>IF(ISNUMBER(Log[[#This Row],[Day]]),TEXT(Log[[#This Row],[Day]],"0"),Log[[#This Row],[Day]])</f>
        <v>1</v>
      </c>
      <c r="N240" s="40" t="str">
        <f>_xlfn.XLOOKUP(Log[[#This Row],[Exercise]],Exercises[Exercise],Exercises[Category],"Ukendt",0)</f>
        <v>Compound</v>
      </c>
      <c r="O240" s="40" t="str">
        <f>_xlfn.XLOOKUP(Log[[#This Row],[Exercise]],Table5[Exercise],Table5[Primary],"Ukendt",0)</f>
        <v>Triceps</v>
      </c>
    </row>
    <row r="241" spans="1:15">
      <c r="A241" s="19" t="s">
        <v>774</v>
      </c>
      <c r="B241" s="21" t="s">
        <v>21</v>
      </c>
      <c r="C241" s="21" t="s">
        <v>97</v>
      </c>
      <c r="D241" s="21">
        <v>3</v>
      </c>
      <c r="E241" s="23">
        <v>0</v>
      </c>
      <c r="F241" s="23">
        <v>0</v>
      </c>
      <c r="G241" s="23">
        <v>15</v>
      </c>
      <c r="H241" s="23">
        <v>15</v>
      </c>
      <c r="I241" s="24" t="s">
        <v>742</v>
      </c>
      <c r="J241" s="27" t="s">
        <v>775</v>
      </c>
      <c r="K241" s="23">
        <v>3</v>
      </c>
      <c r="L241" s="23" t="s">
        <v>776</v>
      </c>
      <c r="M241" s="40" t="str">
        <f>IF(ISNUMBER(Log[[#This Row],[Day]]),TEXT(Log[[#This Row],[Day]],"0"),Log[[#This Row],[Day]])</f>
        <v>3</v>
      </c>
      <c r="N241" s="40" t="str">
        <f>_xlfn.XLOOKUP(Log[[#This Row],[Exercise]],Exercises[Exercise],Exercises[Category],"Ukendt",0)</f>
        <v>Core</v>
      </c>
      <c r="O241" s="40" t="str">
        <f>_xlfn.XLOOKUP(Log[[#This Row],[Exercise]],Table5[Exercise],Table5[Primary],"Ukendt",0)</f>
        <v>Mave</v>
      </c>
    </row>
    <row r="242" spans="1:15">
      <c r="A242" s="19" t="s">
        <v>774</v>
      </c>
      <c r="B242" s="21" t="s">
        <v>30</v>
      </c>
      <c r="C242" s="21" t="s">
        <v>208</v>
      </c>
      <c r="D242" s="21">
        <v>1</v>
      </c>
      <c r="E242" s="23">
        <v>8</v>
      </c>
      <c r="F242" s="23"/>
      <c r="G242" s="23">
        <v>8</v>
      </c>
      <c r="H242" s="23">
        <v>8</v>
      </c>
      <c r="I242" s="24" t="s">
        <v>742</v>
      </c>
      <c r="J242" s="27" t="s">
        <v>777</v>
      </c>
      <c r="K242" s="23">
        <v>3</v>
      </c>
      <c r="L242" s="23" t="s">
        <v>778</v>
      </c>
      <c r="M242" s="40" t="str">
        <f>IF(ISNUMBER(Log[[#This Row],[Day]]),TEXT(Log[[#This Row],[Day]],"0"),Log[[#This Row],[Day]])</f>
        <v>1</v>
      </c>
      <c r="N242" s="40" t="str">
        <f>_xlfn.XLOOKUP(Log[[#This Row],[Exercise]],Exercises[Exercise],Exercises[Category],"Ukendt",0)</f>
        <v>Isolation</v>
      </c>
      <c r="O242" s="40" t="str">
        <f>_xlfn.XLOOKUP(Log[[#This Row],[Exercise]],Table5[Exercise],Table5[Primary],"Ukendt",0)</f>
        <v>Ukendt</v>
      </c>
    </row>
    <row r="243" spans="1:15">
      <c r="A243" s="19" t="s">
        <v>779</v>
      </c>
      <c r="B243" s="21" t="s">
        <v>56</v>
      </c>
      <c r="C243" s="21" t="s">
        <v>59</v>
      </c>
      <c r="D243" s="21">
        <v>2</v>
      </c>
      <c r="E243" s="23">
        <v>35</v>
      </c>
      <c r="F243" s="23">
        <v>35</v>
      </c>
      <c r="G243" s="23">
        <v>12</v>
      </c>
      <c r="H243" s="23">
        <v>12</v>
      </c>
      <c r="I243" s="24" t="s">
        <v>20</v>
      </c>
      <c r="J243" s="27" t="s">
        <v>780</v>
      </c>
      <c r="K243" s="23">
        <v>3</v>
      </c>
      <c r="L243" s="23" t="s">
        <v>781</v>
      </c>
      <c r="M243" s="40" t="str">
        <f>IF(ISNUMBER(Log[[#This Row],[Day]]),TEXT(Log[[#This Row],[Day]],"0"),Log[[#This Row],[Day]])</f>
        <v>2</v>
      </c>
      <c r="N243" s="40" t="str">
        <f>_xlfn.XLOOKUP(Log[[#This Row],[Exercise]],Exercises[Exercise],Exercises[Category],"Ukendt",0)</f>
        <v>Stabilization</v>
      </c>
      <c r="O243" s="40" t="str">
        <f>_xlfn.XLOOKUP(Log[[#This Row],[Exercise]],Table5[Exercise],Table5[Primary],"Ukendt",0)</f>
        <v>Rotatormanchet</v>
      </c>
    </row>
    <row r="244" spans="1:15">
      <c r="A244" s="19" t="s">
        <v>782</v>
      </c>
      <c r="B244" s="21" t="s">
        <v>46</v>
      </c>
      <c r="C244" s="21" t="s">
        <v>181</v>
      </c>
      <c r="D244" s="21">
        <v>3</v>
      </c>
      <c r="E244" s="23">
        <v>60</v>
      </c>
      <c r="F244" s="23">
        <v>70</v>
      </c>
      <c r="G244" s="23">
        <v>12</v>
      </c>
      <c r="H244" s="23">
        <v>12</v>
      </c>
      <c r="I244" s="24" t="s">
        <v>20</v>
      </c>
      <c r="J244" s="27" t="s">
        <v>783</v>
      </c>
      <c r="K244" s="23">
        <v>3</v>
      </c>
      <c r="L244" s="23" t="s">
        <v>784</v>
      </c>
      <c r="M244" s="40" t="str">
        <f>IF(ISNUMBER(Log[[#This Row],[Day]]),TEXT(Log[[#This Row],[Day]],"0"),Log[[#This Row],[Day]])</f>
        <v>3</v>
      </c>
      <c r="N244" s="40" t="str">
        <f>_xlfn.XLOOKUP(Log[[#This Row],[Exercise]],Exercises[Exercise],Exercises[Category],"Ukendt",0)</f>
        <v>Compound</v>
      </c>
      <c r="O244" s="40" t="str">
        <f>_xlfn.XLOOKUP(Log[[#This Row],[Exercise]],Table5[Exercise],Table5[Primary],"Ukendt",0)</f>
        <v>Ukendt</v>
      </c>
    </row>
    <row r="245" spans="1:15">
      <c r="A245" s="19" t="s">
        <v>785</v>
      </c>
      <c r="B245" s="21" t="s">
        <v>30</v>
      </c>
      <c r="C245" s="21" t="s">
        <v>201</v>
      </c>
      <c r="D245" s="21">
        <v>1</v>
      </c>
      <c r="E245" s="23">
        <v>50</v>
      </c>
      <c r="F245" s="23">
        <v>60</v>
      </c>
      <c r="G245" s="23">
        <v>12</v>
      </c>
      <c r="H245" s="23">
        <v>12</v>
      </c>
      <c r="I245" s="24" t="s">
        <v>20</v>
      </c>
      <c r="J245" s="27" t="s">
        <v>786</v>
      </c>
      <c r="K245" s="23">
        <v>3</v>
      </c>
      <c r="L245" s="23" t="s">
        <v>787</v>
      </c>
      <c r="M245" s="40" t="str">
        <f>IF(ISNUMBER(Log[[#This Row],[Day]]),TEXT(Log[[#This Row],[Day]],"0"),Log[[#This Row],[Day]])</f>
        <v>1</v>
      </c>
      <c r="N245" s="40" t="str">
        <f>_xlfn.XLOOKUP(Log[[#This Row],[Exercise]],Exercises[Exercise],Exercises[Category],"Ukendt",0)</f>
        <v>Isolation</v>
      </c>
      <c r="O245" s="40" t="str">
        <f>_xlfn.XLOOKUP(Log[[#This Row],[Exercise]],Table5[Exercise],Table5[Primary],"Ukendt",0)</f>
        <v>Ukendt</v>
      </c>
    </row>
    <row r="246" spans="1:15">
      <c r="A246" s="19" t="s">
        <v>788</v>
      </c>
      <c r="B246" s="21" t="s">
        <v>46</v>
      </c>
      <c r="C246" s="21" t="s">
        <v>115</v>
      </c>
      <c r="D246" s="21">
        <v>3</v>
      </c>
      <c r="E246" s="23">
        <v>130</v>
      </c>
      <c r="F246" s="23">
        <v>130</v>
      </c>
      <c r="G246" s="23">
        <v>12</v>
      </c>
      <c r="H246" s="23">
        <v>12</v>
      </c>
      <c r="I246" s="24" t="s">
        <v>20</v>
      </c>
      <c r="J246" s="27" t="s">
        <v>789</v>
      </c>
      <c r="K246" s="23">
        <v>3</v>
      </c>
      <c r="L246" s="23" t="s">
        <v>790</v>
      </c>
      <c r="M246" s="40" t="str">
        <f>IF(ISNUMBER(Log[[#This Row],[Day]]),TEXT(Log[[#This Row],[Day]],"0"),Log[[#This Row],[Day]])</f>
        <v>3</v>
      </c>
      <c r="N246" s="40" t="str">
        <f>_xlfn.XLOOKUP(Log[[#This Row],[Exercise]],Exercises[Exercise],Exercises[Category],"Ukendt",0)</f>
        <v>Isolation</v>
      </c>
      <c r="O246" s="40" t="str">
        <f>_xlfn.XLOOKUP(Log[[#This Row],[Exercise]],Table5[Exercise],Table5[Primary],"Ukendt",0)</f>
        <v>Lår</v>
      </c>
    </row>
    <row r="247" spans="1:15">
      <c r="A247" s="19" t="s">
        <v>791</v>
      </c>
      <c r="B247" s="21" t="s">
        <v>56</v>
      </c>
      <c r="C247" s="21" t="s">
        <v>71</v>
      </c>
      <c r="D247" s="21">
        <v>2</v>
      </c>
      <c r="E247" s="23">
        <v>60</v>
      </c>
      <c r="F247" s="23">
        <v>60</v>
      </c>
      <c r="G247" s="23">
        <v>10</v>
      </c>
      <c r="H247" s="23">
        <v>10</v>
      </c>
      <c r="I247" s="24" t="s">
        <v>20</v>
      </c>
      <c r="J247" s="27" t="s">
        <v>792</v>
      </c>
      <c r="K247" s="23">
        <v>3</v>
      </c>
      <c r="L247" s="23" t="s">
        <v>793</v>
      </c>
      <c r="M247" s="40" t="str">
        <f>IF(ISNUMBER(Log[[#This Row],[Day]]),TEXT(Log[[#This Row],[Day]],"0"),Log[[#This Row],[Day]])</f>
        <v>2</v>
      </c>
      <c r="N247" s="40" t="str">
        <f>_xlfn.XLOOKUP(Log[[#This Row],[Exercise]],Exercises[Exercise],Exercises[Category],"Ukendt",0)</f>
        <v>Isolation</v>
      </c>
      <c r="O247" s="40" t="str">
        <f>_xlfn.XLOOKUP(Log[[#This Row],[Exercise]],Table5[Exercise],Table5[Primary],"Ukendt",0)</f>
        <v>Biceps</v>
      </c>
    </row>
    <row r="248" spans="1:15">
      <c r="A248" s="19" t="s">
        <v>794</v>
      </c>
      <c r="B248" s="21" t="s">
        <v>30</v>
      </c>
      <c r="C248" s="21" t="s">
        <v>210</v>
      </c>
      <c r="D248" s="21">
        <v>9</v>
      </c>
      <c r="E248" s="23"/>
      <c r="F248" s="23">
        <v>45</v>
      </c>
      <c r="G248" s="23"/>
      <c r="H248" s="23">
        <v>12</v>
      </c>
      <c r="I248" s="24" t="s">
        <v>20</v>
      </c>
      <c r="J248" s="27" t="s">
        <v>795</v>
      </c>
      <c r="K248" s="23"/>
      <c r="L248" s="23" t="s">
        <v>796</v>
      </c>
      <c r="M248" s="40" t="str">
        <f>IF(ISNUMBER(Log[[#This Row],[Day]]),TEXT(Log[[#This Row],[Day]],"0"),Log[[#This Row],[Day]])</f>
        <v>9</v>
      </c>
      <c r="N248" s="40" t="str">
        <f>_xlfn.XLOOKUP(Log[[#This Row],[Exercise]],Exercises[Exercise],Exercises[Category],"Ukendt",0)</f>
        <v>Isolation</v>
      </c>
      <c r="O248" s="40" t="str">
        <f>_xlfn.XLOOKUP(Log[[#This Row],[Exercise]],Table5[Exercise],Table5[Primary],"Ukendt",0)</f>
        <v>Ukendt</v>
      </c>
    </row>
    <row r="249" spans="1:15">
      <c r="A249" s="19" t="s">
        <v>797</v>
      </c>
      <c r="B249" s="21" t="s">
        <v>21</v>
      </c>
      <c r="C249" s="21" t="s">
        <v>157</v>
      </c>
      <c r="D249" s="21" t="s">
        <v>156</v>
      </c>
      <c r="E249" s="23">
        <v>658</v>
      </c>
      <c r="F249" s="23">
        <v>872</v>
      </c>
      <c r="G249" s="23">
        <v>3</v>
      </c>
      <c r="H249" s="23">
        <v>4</v>
      </c>
      <c r="I249" s="24" t="s">
        <v>798</v>
      </c>
      <c r="J249" s="27" t="s">
        <v>799</v>
      </c>
      <c r="K249" s="23">
        <v>1</v>
      </c>
      <c r="L249" s="23" t="s">
        <v>800</v>
      </c>
      <c r="M249" s="40" t="str">
        <f>IF(ISNUMBER(Log[[#This Row],[Day]]),TEXT(Log[[#This Row],[Day]],"0"),Log[[#This Row],[Day]])</f>
        <v>O</v>
      </c>
      <c r="N249" s="40" t="str">
        <f>_xlfn.XLOOKUP(Log[[#This Row],[Exercise]],Exercises[Exercise],Exercises[Category],"Ukendt",0)</f>
        <v>Compound</v>
      </c>
      <c r="O249" s="40" t="str">
        <f>_xlfn.XLOOKUP(Log[[#This Row],[Exercise]],Table5[Exercise],Table5[Primary],"Ukendt",0)</f>
        <v>Ukendt</v>
      </c>
    </row>
    <row r="250" spans="1:15">
      <c r="A250" s="19" t="s">
        <v>801</v>
      </c>
      <c r="B250" s="21" t="s">
        <v>30</v>
      </c>
      <c r="C250" s="21" t="s">
        <v>208</v>
      </c>
      <c r="D250" s="21">
        <v>1</v>
      </c>
      <c r="E250" s="23"/>
      <c r="F250" s="23"/>
      <c r="G250" s="23">
        <v>8</v>
      </c>
      <c r="H250" s="23">
        <v>8</v>
      </c>
      <c r="I250" s="24" t="s">
        <v>798</v>
      </c>
      <c r="J250" s="27" t="s">
        <v>802</v>
      </c>
      <c r="K250" s="23">
        <v>3</v>
      </c>
      <c r="L250" s="23" t="s">
        <v>803</v>
      </c>
      <c r="M250" s="40" t="str">
        <f>IF(ISNUMBER(Log[[#This Row],[Day]]),TEXT(Log[[#This Row],[Day]],"0"),Log[[#This Row],[Day]])</f>
        <v>1</v>
      </c>
      <c r="N250" s="40" t="str">
        <f>_xlfn.XLOOKUP(Log[[#This Row],[Exercise]],Exercises[Exercise],Exercises[Category],"Ukendt",0)</f>
        <v>Isolation</v>
      </c>
      <c r="O250" s="40" t="str">
        <f>_xlfn.XLOOKUP(Log[[#This Row],[Exercise]],Table5[Exercise],Table5[Primary],"Ukendt",0)</f>
        <v>Ukendt</v>
      </c>
    </row>
    <row r="251" spans="1:15">
      <c r="A251" s="19" t="s">
        <v>804</v>
      </c>
      <c r="B251" s="21" t="s">
        <v>46</v>
      </c>
      <c r="C251" s="21" t="s">
        <v>177</v>
      </c>
      <c r="D251" s="21">
        <v>1</v>
      </c>
      <c r="E251" s="23">
        <v>0</v>
      </c>
      <c r="F251" s="23">
        <v>0</v>
      </c>
      <c r="G251" s="23">
        <v>15</v>
      </c>
      <c r="H251" s="23">
        <v>15</v>
      </c>
      <c r="I251" s="24" t="s">
        <v>798</v>
      </c>
      <c r="J251" s="27" t="s">
        <v>805</v>
      </c>
      <c r="K251" s="23">
        <v>3</v>
      </c>
      <c r="L251" s="23" t="s">
        <v>806</v>
      </c>
      <c r="M251" s="40" t="str">
        <f>IF(ISNUMBER(Log[[#This Row],[Day]]),TEXT(Log[[#This Row],[Day]],"0"),Log[[#This Row],[Day]])</f>
        <v>1</v>
      </c>
      <c r="N251" s="40" t="str">
        <f>_xlfn.XLOOKUP(Log[[#This Row],[Exercise]],Exercises[Exercise],Exercises[Category],"Ukendt",0)</f>
        <v>Compound</v>
      </c>
      <c r="O251" s="40" t="str">
        <f>_xlfn.XLOOKUP(Log[[#This Row],[Exercise]],Table5[Exercise],Table5[Primary],"Ukendt",0)</f>
        <v>Ukendt</v>
      </c>
    </row>
    <row r="252" spans="1:15">
      <c r="A252" s="19" t="s">
        <v>807</v>
      </c>
      <c r="B252" s="21" t="s">
        <v>56</v>
      </c>
      <c r="C252" s="21" t="s">
        <v>143</v>
      </c>
      <c r="D252" s="21">
        <v>1</v>
      </c>
      <c r="E252" s="23">
        <v>0</v>
      </c>
      <c r="F252" s="23">
        <v>0</v>
      </c>
      <c r="G252" s="23">
        <v>8</v>
      </c>
      <c r="H252" s="23">
        <v>8</v>
      </c>
      <c r="I252" s="24" t="s">
        <v>798</v>
      </c>
      <c r="J252" s="27" t="s">
        <v>808</v>
      </c>
      <c r="K252" s="23">
        <v>3</v>
      </c>
      <c r="L252" s="23" t="s">
        <v>809</v>
      </c>
      <c r="M252" s="40" t="str">
        <f>IF(ISNUMBER(Log[[#This Row],[Day]]),TEXT(Log[[#This Row],[Day]],"0"),Log[[#This Row],[Day]])</f>
        <v>1</v>
      </c>
      <c r="N252" s="40" t="str">
        <f>_xlfn.XLOOKUP(Log[[#This Row],[Exercise]],Exercises[Exercise],Exercises[Category],"Ukendt",0)</f>
        <v>Compound</v>
      </c>
      <c r="O252" s="40" t="str">
        <f>_xlfn.XLOOKUP(Log[[#This Row],[Exercise]],Table5[Exercise],Table5[Primary],"Ukendt",0)</f>
        <v>Ukendt</v>
      </c>
    </row>
    <row r="253" spans="1:15">
      <c r="A253" s="19" t="s">
        <v>807</v>
      </c>
      <c r="B253" s="21" t="s">
        <v>46</v>
      </c>
      <c r="C253" s="21" t="s">
        <v>79</v>
      </c>
      <c r="D253" s="21">
        <v>1</v>
      </c>
      <c r="E253" s="23">
        <v>20</v>
      </c>
      <c r="F253" s="23">
        <v>20</v>
      </c>
      <c r="G253" s="23">
        <v>20</v>
      </c>
      <c r="H253" s="23">
        <v>20</v>
      </c>
      <c r="I253" s="24" t="s">
        <v>798</v>
      </c>
      <c r="J253" s="27" t="s">
        <v>810</v>
      </c>
      <c r="K253" s="23">
        <v>3</v>
      </c>
      <c r="L253" s="23" t="s">
        <v>811</v>
      </c>
      <c r="M253" s="40" t="str">
        <f>IF(ISNUMBER(Log[[#This Row],[Day]]),TEXT(Log[[#This Row],[Day]],"0"),Log[[#This Row],[Day]])</f>
        <v>1</v>
      </c>
      <c r="N253" s="40" t="str">
        <f>_xlfn.XLOOKUP(Log[[#This Row],[Exercise]],Exercises[Exercise],Exercises[Category],"Ukendt",0)</f>
        <v>Compound</v>
      </c>
      <c r="O253" s="40" t="str">
        <f>_xlfn.XLOOKUP(Log[[#This Row],[Exercise]],Table5[Exercise],Table5[Primary],"Ukendt",0)</f>
        <v>Lår</v>
      </c>
    </row>
    <row r="254" spans="1:15">
      <c r="A254" s="19" t="s">
        <v>812</v>
      </c>
      <c r="B254" s="21" t="s">
        <v>56</v>
      </c>
      <c r="C254" s="21" t="s">
        <v>174</v>
      </c>
      <c r="D254" s="21">
        <v>1</v>
      </c>
      <c r="E254" s="23" t="s">
        <v>84</v>
      </c>
      <c r="F254" s="23">
        <v>30</v>
      </c>
      <c r="G254" s="23">
        <v>12</v>
      </c>
      <c r="H254" s="23">
        <v>12</v>
      </c>
      <c r="I254" s="24" t="s">
        <v>798</v>
      </c>
      <c r="J254" s="27" t="s">
        <v>813</v>
      </c>
      <c r="K254" s="23">
        <v>3</v>
      </c>
      <c r="L254" s="23" t="s">
        <v>814</v>
      </c>
      <c r="M254" s="40" t="str">
        <f>IF(ISNUMBER(Log[[#This Row],[Day]]),TEXT(Log[[#This Row],[Day]],"0"),Log[[#This Row],[Day]])</f>
        <v>1</v>
      </c>
      <c r="N254" s="40" t="str">
        <f>_xlfn.XLOOKUP(Log[[#This Row],[Exercise]],Exercises[Exercise],Exercises[Category],"Ukendt",0)</f>
        <v>Compound</v>
      </c>
      <c r="O254" s="40" t="str">
        <f>_xlfn.XLOOKUP(Log[[#This Row],[Exercise]],Table5[Exercise],Table5[Primary],"Ukendt",0)</f>
        <v>Ukendt</v>
      </c>
    </row>
    <row r="255" spans="1:15">
      <c r="A255" s="19" t="s">
        <v>815</v>
      </c>
      <c r="B255" s="21" t="s">
        <v>30</v>
      </c>
      <c r="C255" s="21" t="s">
        <v>196</v>
      </c>
      <c r="D255" s="21">
        <v>1</v>
      </c>
      <c r="E255" s="23">
        <v>60</v>
      </c>
      <c r="F255" s="23">
        <v>60</v>
      </c>
      <c r="G255" s="23">
        <v>12</v>
      </c>
      <c r="H255" s="23">
        <v>12</v>
      </c>
      <c r="I255" s="24" t="s">
        <v>798</v>
      </c>
      <c r="J255" s="27" t="s">
        <v>816</v>
      </c>
      <c r="K255" s="23">
        <v>3</v>
      </c>
      <c r="L255" s="23" t="s">
        <v>817</v>
      </c>
      <c r="M255" s="40" t="str">
        <f>IF(ISNUMBER(Log[[#This Row],[Day]]),TEXT(Log[[#This Row],[Day]],"0"),Log[[#This Row],[Day]])</f>
        <v>1</v>
      </c>
      <c r="N255" s="40" t="str">
        <f>_xlfn.XLOOKUP(Log[[#This Row],[Exercise]],Exercises[Exercise],Exercises[Category],"Ukendt",0)</f>
        <v>Compound</v>
      </c>
      <c r="O255" s="40" t="str">
        <f>_xlfn.XLOOKUP(Log[[#This Row],[Exercise]],Table5[Exercise],Table5[Primary],"Ukendt",0)</f>
        <v>Ukendt</v>
      </c>
    </row>
    <row r="256" spans="1:15">
      <c r="A256" s="19" t="s">
        <v>818</v>
      </c>
      <c r="B256" s="21" t="s">
        <v>21</v>
      </c>
      <c r="C256" s="21" t="s">
        <v>157</v>
      </c>
      <c r="D256" s="21" t="s">
        <v>156</v>
      </c>
      <c r="E256" s="23">
        <v>872</v>
      </c>
      <c r="F256" s="23">
        <v>894</v>
      </c>
      <c r="G256" s="23">
        <v>4</v>
      </c>
      <c r="H256" s="23">
        <v>4</v>
      </c>
      <c r="I256" s="24" t="s">
        <v>135</v>
      </c>
      <c r="J256" s="27" t="s">
        <v>819</v>
      </c>
      <c r="K256" s="23">
        <v>1</v>
      </c>
      <c r="L256" s="23" t="s">
        <v>820</v>
      </c>
      <c r="M256" s="40" t="str">
        <f>IF(ISNUMBER(Log[[#This Row],[Day]]),TEXT(Log[[#This Row],[Day]],"0"),Log[[#This Row],[Day]])</f>
        <v>O</v>
      </c>
      <c r="N256" s="40" t="str">
        <f>_xlfn.XLOOKUP(Log[[#This Row],[Exercise]],Exercises[Exercise],Exercises[Category],"Ukendt",0)</f>
        <v>Compound</v>
      </c>
      <c r="O256" s="40" t="str">
        <f>_xlfn.XLOOKUP(Log[[#This Row],[Exercise]],Table5[Exercise],Table5[Primary],"Ukendt",0)</f>
        <v>Ukendt</v>
      </c>
    </row>
    <row r="257" spans="1:15">
      <c r="A257" s="19" t="s">
        <v>821</v>
      </c>
      <c r="B257" s="21" t="s">
        <v>56</v>
      </c>
      <c r="C257" s="21" t="s">
        <v>206</v>
      </c>
      <c r="D257" s="21">
        <v>1</v>
      </c>
      <c r="E257" s="23">
        <v>60</v>
      </c>
      <c r="F257" s="23">
        <v>60</v>
      </c>
      <c r="G257" s="23">
        <v>8</v>
      </c>
      <c r="H257" s="23">
        <v>8</v>
      </c>
      <c r="I257" s="24" t="s">
        <v>135</v>
      </c>
      <c r="J257" s="27" t="s">
        <v>822</v>
      </c>
      <c r="K257" s="23">
        <v>3</v>
      </c>
      <c r="L257" s="23" t="s">
        <v>823</v>
      </c>
      <c r="M257" s="40" t="str">
        <f>IF(ISNUMBER(Log[[#This Row],[Day]]),TEXT(Log[[#This Row],[Day]],"0"),Log[[#This Row],[Day]])</f>
        <v>1</v>
      </c>
      <c r="N257" s="40" t="str">
        <f>_xlfn.XLOOKUP(Log[[#This Row],[Exercise]],Exercises[Exercise],Exercises[Category],"Ukendt",0)</f>
        <v>Compound</v>
      </c>
      <c r="O257" s="40" t="str">
        <f>_xlfn.XLOOKUP(Log[[#This Row],[Exercise]],Table5[Exercise],Table5[Primary],"Ukendt",0)</f>
        <v>Ukendt</v>
      </c>
    </row>
    <row r="258" spans="1:15">
      <c r="A258" s="19" t="s">
        <v>824</v>
      </c>
      <c r="B258" s="21" t="s">
        <v>46</v>
      </c>
      <c r="C258" s="21" t="s">
        <v>181</v>
      </c>
      <c r="D258" s="21">
        <v>2</v>
      </c>
      <c r="E258" s="23">
        <v>70</v>
      </c>
      <c r="F258" s="23">
        <v>70</v>
      </c>
      <c r="G258" s="23">
        <v>12</v>
      </c>
      <c r="H258" s="23">
        <v>12</v>
      </c>
      <c r="I258" s="24" t="s">
        <v>135</v>
      </c>
      <c r="J258" s="27" t="s">
        <v>825</v>
      </c>
      <c r="K258" s="23">
        <v>3</v>
      </c>
      <c r="L258" s="23" t="s">
        <v>826</v>
      </c>
      <c r="M258" s="40" t="str">
        <f>IF(ISNUMBER(Log[[#This Row],[Day]]),TEXT(Log[[#This Row],[Day]],"0"),Log[[#This Row],[Day]])</f>
        <v>2</v>
      </c>
      <c r="N258" s="40" t="str">
        <f>_xlfn.XLOOKUP(Log[[#This Row],[Exercise]],Exercises[Exercise],Exercises[Category],"Ukendt",0)</f>
        <v>Compound</v>
      </c>
      <c r="O258" s="40" t="str">
        <f>_xlfn.XLOOKUP(Log[[#This Row],[Exercise]],Table5[Exercise],Table5[Primary],"Ukendt",0)</f>
        <v>Ukendt</v>
      </c>
    </row>
    <row r="259" spans="1:15">
      <c r="A259" s="19" t="s">
        <v>827</v>
      </c>
      <c r="B259" s="21" t="s">
        <v>30</v>
      </c>
      <c r="C259" s="21" t="s">
        <v>41</v>
      </c>
      <c r="D259" s="21">
        <v>1</v>
      </c>
      <c r="E259" s="23">
        <v>70</v>
      </c>
      <c r="F259" s="23">
        <v>70</v>
      </c>
      <c r="G259" s="23">
        <v>6</v>
      </c>
      <c r="H259" s="23">
        <v>6</v>
      </c>
      <c r="I259" s="24" t="s">
        <v>135</v>
      </c>
      <c r="J259" s="27" t="s">
        <v>828</v>
      </c>
      <c r="K259" s="23">
        <v>3</v>
      </c>
      <c r="L259" s="23" t="s">
        <v>829</v>
      </c>
      <c r="M259" s="40" t="str">
        <f>IF(ISNUMBER(Log[[#This Row],[Day]]),TEXT(Log[[#This Row],[Day]],"0"),Log[[#This Row],[Day]])</f>
        <v>1</v>
      </c>
      <c r="N259" s="40" t="str">
        <f>_xlfn.XLOOKUP(Log[[#This Row],[Exercise]],Exercises[Exercise],Exercises[Category],"Ukendt",0)</f>
        <v>Compound</v>
      </c>
      <c r="O259" s="40" t="str">
        <f>_xlfn.XLOOKUP(Log[[#This Row],[Exercise]],Table5[Exercise],Table5[Primary],"Ukendt",0)</f>
        <v>Bryst</v>
      </c>
    </row>
    <row r="260" spans="1:15">
      <c r="A260" s="19" t="s">
        <v>830</v>
      </c>
      <c r="B260" s="21" t="s">
        <v>21</v>
      </c>
      <c r="C260" s="21" t="s">
        <v>97</v>
      </c>
      <c r="D260" s="21">
        <v>2</v>
      </c>
      <c r="E260" s="23">
        <v>0</v>
      </c>
      <c r="F260" s="23">
        <v>0</v>
      </c>
      <c r="G260" s="23">
        <v>15</v>
      </c>
      <c r="H260" s="23">
        <v>15</v>
      </c>
      <c r="I260" s="24" t="s">
        <v>135</v>
      </c>
      <c r="J260" s="27" t="s">
        <v>831</v>
      </c>
      <c r="K260" s="23">
        <v>3</v>
      </c>
      <c r="L260" s="23" t="s">
        <v>832</v>
      </c>
      <c r="M260" s="40" t="str">
        <f>IF(ISNUMBER(Log[[#This Row],[Day]]),TEXT(Log[[#This Row],[Day]],"0"),Log[[#This Row],[Day]])</f>
        <v>2</v>
      </c>
      <c r="N260" s="40" t="str">
        <f>_xlfn.XLOOKUP(Log[[#This Row],[Exercise]],Exercises[Exercise],Exercises[Category],"Ukendt",0)</f>
        <v>Core</v>
      </c>
      <c r="O260" s="40" t="str">
        <f>_xlfn.XLOOKUP(Log[[#This Row],[Exercise]],Table5[Exercise],Table5[Primary],"Ukendt",0)</f>
        <v>Mave</v>
      </c>
    </row>
    <row r="261" spans="1:15">
      <c r="A261" s="19" t="s">
        <v>833</v>
      </c>
      <c r="B261" s="21" t="s">
        <v>30</v>
      </c>
      <c r="C261" s="21" t="s">
        <v>208</v>
      </c>
      <c r="D261" s="21">
        <v>1</v>
      </c>
      <c r="E261" s="23"/>
      <c r="F261" s="23"/>
      <c r="G261" s="23">
        <v>8</v>
      </c>
      <c r="H261" s="23">
        <v>8</v>
      </c>
      <c r="I261" s="24" t="s">
        <v>135</v>
      </c>
      <c r="J261" s="27" t="s">
        <v>834</v>
      </c>
      <c r="K261" s="23">
        <v>3</v>
      </c>
      <c r="L261" s="23" t="s">
        <v>835</v>
      </c>
      <c r="M261" s="40" t="str">
        <f>IF(ISNUMBER(Log[[#This Row],[Day]]),TEXT(Log[[#This Row],[Day]],"0"),Log[[#This Row],[Day]])</f>
        <v>1</v>
      </c>
      <c r="N261" s="40" t="str">
        <f>_xlfn.XLOOKUP(Log[[#This Row],[Exercise]],Exercises[Exercise],Exercises[Category],"Ukendt",0)</f>
        <v>Isolation</v>
      </c>
      <c r="O261" s="40" t="str">
        <f>_xlfn.XLOOKUP(Log[[#This Row],[Exercise]],Table5[Exercise],Table5[Primary],"Ukendt",0)</f>
        <v>Ukendt</v>
      </c>
    </row>
    <row r="262" spans="1:15">
      <c r="A262" s="19" t="s">
        <v>833</v>
      </c>
      <c r="B262" s="21" t="s">
        <v>46</v>
      </c>
      <c r="C262" s="21" t="s">
        <v>115</v>
      </c>
      <c r="D262" s="21">
        <v>2</v>
      </c>
      <c r="E262" s="23">
        <v>130</v>
      </c>
      <c r="F262" s="23">
        <v>145</v>
      </c>
      <c r="G262" s="23">
        <v>12</v>
      </c>
      <c r="H262" s="23">
        <v>12</v>
      </c>
      <c r="I262" s="24" t="s">
        <v>135</v>
      </c>
      <c r="J262" s="27" t="s">
        <v>836</v>
      </c>
      <c r="K262" s="23">
        <v>3</v>
      </c>
      <c r="L262" s="23" t="s">
        <v>837</v>
      </c>
      <c r="M262" s="40" t="str">
        <f>IF(ISNUMBER(Log[[#This Row],[Day]]),TEXT(Log[[#This Row],[Day]],"0"),Log[[#This Row],[Day]])</f>
        <v>2</v>
      </c>
      <c r="N262" s="40" t="str">
        <f>_xlfn.XLOOKUP(Log[[#This Row],[Exercise]],Exercises[Exercise],Exercises[Category],"Ukendt",0)</f>
        <v>Isolation</v>
      </c>
      <c r="O262" s="40" t="str">
        <f>_xlfn.XLOOKUP(Log[[#This Row],[Exercise]],Table5[Exercise],Table5[Primary],"Ukendt",0)</f>
        <v>Lår</v>
      </c>
    </row>
    <row r="263" spans="1:15">
      <c r="A263" s="19" t="s">
        <v>838</v>
      </c>
      <c r="B263" s="21" t="s">
        <v>21</v>
      </c>
      <c r="C263" s="21" t="s">
        <v>187</v>
      </c>
      <c r="D263" s="21" t="s">
        <v>31</v>
      </c>
      <c r="E263" s="23">
        <v>1519</v>
      </c>
      <c r="F263" s="23">
        <v>1519</v>
      </c>
      <c r="G263" s="23">
        <v>30</v>
      </c>
      <c r="H263" s="23">
        <v>45</v>
      </c>
      <c r="I263" s="24" t="s">
        <v>135</v>
      </c>
      <c r="J263" s="27" t="s">
        <v>839</v>
      </c>
      <c r="K263" s="23">
        <v>1</v>
      </c>
      <c r="L263" s="23" t="s">
        <v>840</v>
      </c>
      <c r="M263" s="40" t="str">
        <f>IF(ISNUMBER(Log[[#This Row],[Day]]),TEXT(Log[[#This Row],[Day]],"0"),Log[[#This Row],[Day]])</f>
        <v>H</v>
      </c>
      <c r="N263" s="40" t="str">
        <f>_xlfn.XLOOKUP(Log[[#This Row],[Exercise]],Exercises[Exercise],Exercises[Category],"Ukendt",0)</f>
        <v>Isolation</v>
      </c>
      <c r="O263" s="40" t="str">
        <f>_xlfn.XLOOKUP(Log[[#This Row],[Exercise]],Table5[Exercise],Table5[Primary],"Ukendt",0)</f>
        <v>Ukendt</v>
      </c>
    </row>
    <row r="264" spans="1:15">
      <c r="A264" s="19" t="s">
        <v>841</v>
      </c>
      <c r="B264" s="21" t="s">
        <v>56</v>
      </c>
      <c r="C264" s="21" t="s">
        <v>92</v>
      </c>
      <c r="D264" s="21" t="s">
        <v>31</v>
      </c>
      <c r="E264" s="23" t="s">
        <v>93</v>
      </c>
      <c r="F264" s="23" t="s">
        <v>93</v>
      </c>
      <c r="G264" s="23">
        <v>15</v>
      </c>
      <c r="H264" s="23">
        <v>15</v>
      </c>
      <c r="I264" s="24" t="s">
        <v>135</v>
      </c>
      <c r="J264" s="27" t="s">
        <v>842</v>
      </c>
      <c r="K264" s="23">
        <v>3</v>
      </c>
      <c r="L264" s="23" t="s">
        <v>843</v>
      </c>
      <c r="M264" s="40" t="str">
        <f>IF(ISNUMBER(Log[[#This Row],[Day]]),TEXT(Log[[#This Row],[Day]],"0"),Log[[#This Row],[Day]])</f>
        <v>H</v>
      </c>
      <c r="N264" s="40" t="str">
        <f>_xlfn.XLOOKUP(Log[[#This Row],[Exercise]],Exercises[Exercise],Exercises[Category],"Ukendt",0)</f>
        <v>Isolation</v>
      </c>
      <c r="O264" s="40" t="str">
        <f>_xlfn.XLOOKUP(Log[[#This Row],[Exercise]],Table5[Exercise],Table5[Primary],"Ukendt",0)</f>
        <v>Biceps</v>
      </c>
    </row>
    <row r="265" spans="1:15">
      <c r="A265" s="19" t="s">
        <v>841</v>
      </c>
      <c r="B265" s="21" t="s">
        <v>21</v>
      </c>
      <c r="C265" s="21" t="s">
        <v>134</v>
      </c>
      <c r="D265" s="21" t="s">
        <v>31</v>
      </c>
      <c r="E265" s="23">
        <v>0</v>
      </c>
      <c r="F265" s="23">
        <v>0</v>
      </c>
      <c r="G265" s="23">
        <v>60</v>
      </c>
      <c r="H265" s="23">
        <v>60</v>
      </c>
      <c r="I265" s="24" t="s">
        <v>135</v>
      </c>
      <c r="J265" s="27" t="s">
        <v>844</v>
      </c>
      <c r="K265" s="23">
        <v>3</v>
      </c>
      <c r="L265" s="23" t="s">
        <v>845</v>
      </c>
      <c r="M265" s="40" t="str">
        <f>IF(ISNUMBER(Log[[#This Row],[Day]]),TEXT(Log[[#This Row],[Day]],"0"),Log[[#This Row],[Day]])</f>
        <v>H</v>
      </c>
      <c r="N265" s="40" t="str">
        <f>_xlfn.XLOOKUP(Log[[#This Row],[Exercise]],Exercises[Exercise],Exercises[Category],"Ukendt",0)</f>
        <v>Core</v>
      </c>
      <c r="O265" s="40" t="str">
        <f>_xlfn.XLOOKUP(Log[[#This Row],[Exercise]],Table5[Exercise],Table5[Primary],"Ukendt",0)</f>
        <v>Ukendt</v>
      </c>
    </row>
    <row r="266" spans="1:15">
      <c r="A266" s="19" t="s">
        <v>846</v>
      </c>
      <c r="B266" s="21" t="s">
        <v>56</v>
      </c>
      <c r="C266" s="21" t="s">
        <v>131</v>
      </c>
      <c r="D266" s="21">
        <v>2</v>
      </c>
      <c r="E266" s="23">
        <v>80</v>
      </c>
      <c r="F266" s="23">
        <v>85</v>
      </c>
      <c r="G266" s="23">
        <v>12</v>
      </c>
      <c r="H266" s="23">
        <v>12</v>
      </c>
      <c r="I266" s="24" t="s">
        <v>135</v>
      </c>
      <c r="J266" s="27" t="s">
        <v>847</v>
      </c>
      <c r="K266" s="23">
        <v>3</v>
      </c>
      <c r="L266" s="23" t="s">
        <v>848</v>
      </c>
      <c r="M266" s="40" t="str">
        <f>IF(ISNUMBER(Log[[#This Row],[Day]]),TEXT(Log[[#This Row],[Day]],"0"),Log[[#This Row],[Day]])</f>
        <v>2</v>
      </c>
      <c r="N266" s="40" t="str">
        <f>_xlfn.XLOOKUP(Log[[#This Row],[Exercise]],Exercises[Exercise],Exercises[Category],"Ukendt",0)</f>
        <v>Isolation</v>
      </c>
      <c r="O266" s="40" t="str">
        <f>_xlfn.XLOOKUP(Log[[#This Row],[Exercise]],Table5[Exercise],Table5[Primary],"Ukendt",0)</f>
        <v>Ukendt</v>
      </c>
    </row>
    <row r="267" spans="1:15">
      <c r="A267" s="19" t="s">
        <v>849</v>
      </c>
      <c r="B267" s="21" t="s">
        <v>56</v>
      </c>
      <c r="C267" s="21" t="s">
        <v>190</v>
      </c>
      <c r="D267" s="21">
        <v>2</v>
      </c>
      <c r="E267" s="23">
        <v>45</v>
      </c>
      <c r="F267" s="23">
        <v>55</v>
      </c>
      <c r="G267" s="23">
        <v>12</v>
      </c>
      <c r="H267" s="23">
        <v>12</v>
      </c>
      <c r="I267" s="24" t="s">
        <v>135</v>
      </c>
      <c r="J267" s="27" t="s">
        <v>850</v>
      </c>
      <c r="K267" s="23">
        <v>3</v>
      </c>
      <c r="L267" s="23" t="s">
        <v>851</v>
      </c>
      <c r="M267" s="40" t="str">
        <f>IF(ISNUMBER(Log[[#This Row],[Day]]),TEXT(Log[[#This Row],[Day]],"0"),Log[[#This Row],[Day]])</f>
        <v>2</v>
      </c>
      <c r="N267" s="40" t="str">
        <f>_xlfn.XLOOKUP(Log[[#This Row],[Exercise]],Exercises[Exercise],Exercises[Category],"Ukendt",0)</f>
        <v>Isolation</v>
      </c>
      <c r="O267" s="40" t="str">
        <f>_xlfn.XLOOKUP(Log[[#This Row],[Exercise]],Table5[Exercise],Table5[Primary],"Ukendt",0)</f>
        <v>Ukendt</v>
      </c>
    </row>
    <row r="268" spans="1:15">
      <c r="A268" s="19" t="s">
        <v>852</v>
      </c>
      <c r="B268" s="21" t="s">
        <v>30</v>
      </c>
      <c r="C268" s="21" t="s">
        <v>208</v>
      </c>
      <c r="D268" s="21">
        <v>1</v>
      </c>
      <c r="E268" s="23"/>
      <c r="F268" s="23"/>
      <c r="G268" s="23">
        <v>8</v>
      </c>
      <c r="H268" s="23">
        <v>8</v>
      </c>
      <c r="I268" s="24" t="s">
        <v>853</v>
      </c>
      <c r="J268" s="27" t="s">
        <v>854</v>
      </c>
      <c r="K268" s="23">
        <v>3</v>
      </c>
      <c r="L268" s="23" t="s">
        <v>855</v>
      </c>
      <c r="M268" s="40" t="str">
        <f>IF(ISNUMBER(Log[[#This Row],[Day]]),TEXT(Log[[#This Row],[Day]],"0"),Log[[#This Row],[Day]])</f>
        <v>1</v>
      </c>
      <c r="N268" s="40" t="str">
        <f>_xlfn.XLOOKUP(Log[[#This Row],[Exercise]],Exercises[Exercise],Exercises[Category],"Ukendt",0)</f>
        <v>Isolation</v>
      </c>
      <c r="O268" s="40" t="str">
        <f>_xlfn.XLOOKUP(Log[[#This Row],[Exercise]],Table5[Exercise],Table5[Primary],"Ukendt",0)</f>
        <v>Ukendt</v>
      </c>
    </row>
    <row r="269" spans="1:15">
      <c r="A269" s="19" t="s">
        <v>856</v>
      </c>
      <c r="B269" s="21" t="s">
        <v>46</v>
      </c>
      <c r="C269" s="21" t="s">
        <v>177</v>
      </c>
      <c r="D269" s="21">
        <v>1</v>
      </c>
      <c r="E269" s="23">
        <v>0</v>
      </c>
      <c r="F269" s="23">
        <v>10</v>
      </c>
      <c r="G269" s="23">
        <v>15</v>
      </c>
      <c r="H269" s="23">
        <v>12</v>
      </c>
      <c r="I269" s="24" t="s">
        <v>853</v>
      </c>
      <c r="J269" s="27" t="s">
        <v>857</v>
      </c>
      <c r="K269" s="23">
        <v>3</v>
      </c>
      <c r="L269" s="23" t="s">
        <v>858</v>
      </c>
      <c r="M269" s="40" t="str">
        <f>IF(ISNUMBER(Log[[#This Row],[Day]]),TEXT(Log[[#This Row],[Day]],"0"),Log[[#This Row],[Day]])</f>
        <v>1</v>
      </c>
      <c r="N269" s="40" t="str">
        <f>_xlfn.XLOOKUP(Log[[#This Row],[Exercise]],Exercises[Exercise],Exercises[Category],"Ukendt",0)</f>
        <v>Compound</v>
      </c>
      <c r="O269" s="40" t="str">
        <f>_xlfn.XLOOKUP(Log[[#This Row],[Exercise]],Table5[Exercise],Table5[Primary],"Ukendt",0)</f>
        <v>Ukendt</v>
      </c>
    </row>
    <row r="270" spans="1:15">
      <c r="A270" s="19" t="s">
        <v>859</v>
      </c>
      <c r="B270" s="21" t="s">
        <v>56</v>
      </c>
      <c r="C270" s="21" t="s">
        <v>206</v>
      </c>
      <c r="D270" s="21">
        <v>1</v>
      </c>
      <c r="E270" s="23">
        <v>60</v>
      </c>
      <c r="F270" s="23">
        <v>60</v>
      </c>
      <c r="G270" s="23">
        <v>8</v>
      </c>
      <c r="H270" s="23">
        <v>8</v>
      </c>
      <c r="I270" s="24" t="s">
        <v>853</v>
      </c>
      <c r="J270" s="27" t="s">
        <v>860</v>
      </c>
      <c r="K270" s="23">
        <v>3</v>
      </c>
      <c r="L270" s="23" t="s">
        <v>861</v>
      </c>
      <c r="M270" s="40" t="str">
        <f>IF(ISNUMBER(Log[[#This Row],[Day]]),TEXT(Log[[#This Row],[Day]],"0"),Log[[#This Row],[Day]])</f>
        <v>1</v>
      </c>
      <c r="N270" s="40" t="str">
        <f>_xlfn.XLOOKUP(Log[[#This Row],[Exercise]],Exercises[Exercise],Exercises[Category],"Ukendt",0)</f>
        <v>Compound</v>
      </c>
      <c r="O270" s="40" t="str">
        <f>_xlfn.XLOOKUP(Log[[#This Row],[Exercise]],Table5[Exercise],Table5[Primary],"Ukendt",0)</f>
        <v>Ukendt</v>
      </c>
    </row>
    <row r="271" spans="1:15">
      <c r="A271" s="19" t="s">
        <v>862</v>
      </c>
      <c r="B271" s="21" t="s">
        <v>56</v>
      </c>
      <c r="C271" s="21" t="s">
        <v>143</v>
      </c>
      <c r="D271" s="21">
        <v>1</v>
      </c>
      <c r="E271" s="23">
        <v>0</v>
      </c>
      <c r="F271" s="23">
        <v>0</v>
      </c>
      <c r="G271" s="23">
        <v>8</v>
      </c>
      <c r="H271" s="23">
        <v>8</v>
      </c>
      <c r="I271" s="24" t="s">
        <v>853</v>
      </c>
      <c r="J271" s="27" t="s">
        <v>863</v>
      </c>
      <c r="K271" s="23">
        <v>3</v>
      </c>
      <c r="L271" s="23" t="s">
        <v>864</v>
      </c>
      <c r="M271" s="40" t="str">
        <f>IF(ISNUMBER(Log[[#This Row],[Day]]),TEXT(Log[[#This Row],[Day]],"0"),Log[[#This Row],[Day]])</f>
        <v>1</v>
      </c>
      <c r="N271" s="40" t="str">
        <f>_xlfn.XLOOKUP(Log[[#This Row],[Exercise]],Exercises[Exercise],Exercises[Category],"Ukendt",0)</f>
        <v>Compound</v>
      </c>
      <c r="O271" s="40" t="str">
        <f>_xlfn.XLOOKUP(Log[[#This Row],[Exercise]],Table5[Exercise],Table5[Primary],"Ukendt",0)</f>
        <v>Ukendt</v>
      </c>
    </row>
    <row r="272" spans="1:15">
      <c r="A272" s="19" t="s">
        <v>865</v>
      </c>
      <c r="B272" s="21" t="s">
        <v>56</v>
      </c>
      <c r="C272" s="21" t="s">
        <v>174</v>
      </c>
      <c r="D272" s="21">
        <v>1</v>
      </c>
      <c r="E272" s="23">
        <v>30</v>
      </c>
      <c r="F272" s="23">
        <v>30</v>
      </c>
      <c r="G272" s="23">
        <v>12</v>
      </c>
      <c r="H272" s="23">
        <v>12</v>
      </c>
      <c r="I272" s="24" t="s">
        <v>853</v>
      </c>
      <c r="J272" s="27" t="s">
        <v>866</v>
      </c>
      <c r="K272" s="23">
        <v>3</v>
      </c>
      <c r="L272" s="23" t="s">
        <v>867</v>
      </c>
      <c r="M272" s="40" t="str">
        <f>IF(ISNUMBER(Log[[#This Row],[Day]]),TEXT(Log[[#This Row],[Day]],"0"),Log[[#This Row],[Day]])</f>
        <v>1</v>
      </c>
      <c r="N272" s="40" t="str">
        <f>_xlfn.XLOOKUP(Log[[#This Row],[Exercise]],Exercises[Exercise],Exercises[Category],"Ukendt",0)</f>
        <v>Compound</v>
      </c>
      <c r="O272" s="40" t="str">
        <f>_xlfn.XLOOKUP(Log[[#This Row],[Exercise]],Table5[Exercise],Table5[Primary],"Ukendt",0)</f>
        <v>Ukendt</v>
      </c>
    </row>
    <row r="273" spans="1:15">
      <c r="A273" s="19" t="s">
        <v>868</v>
      </c>
      <c r="B273" s="21" t="s">
        <v>56</v>
      </c>
      <c r="C273" s="21" t="s">
        <v>153</v>
      </c>
      <c r="D273" s="21">
        <v>1</v>
      </c>
      <c r="E273" s="23">
        <v>70</v>
      </c>
      <c r="F273" s="23">
        <v>75</v>
      </c>
      <c r="G273" s="23">
        <v>12</v>
      </c>
      <c r="H273" s="23">
        <v>10</v>
      </c>
      <c r="I273" s="24" t="s">
        <v>853</v>
      </c>
      <c r="J273" s="27" t="s">
        <v>869</v>
      </c>
      <c r="K273" s="23">
        <v>3</v>
      </c>
      <c r="L273" s="23" t="s">
        <v>870</v>
      </c>
      <c r="M273" s="40" t="str">
        <f>IF(ISNUMBER(Log[[#This Row],[Day]]),TEXT(Log[[#This Row],[Day]],"0"),Log[[#This Row],[Day]])</f>
        <v>1</v>
      </c>
      <c r="N273" s="40" t="str">
        <f>_xlfn.XLOOKUP(Log[[#This Row],[Exercise]],Exercises[Exercise],Exercises[Category],"Ukendt",0)</f>
        <v>Stabilization</v>
      </c>
      <c r="O273" s="40" t="str">
        <f>_xlfn.XLOOKUP(Log[[#This Row],[Exercise]],Table5[Exercise],Table5[Primary],"Ukendt",0)</f>
        <v>Ukendt</v>
      </c>
    </row>
    <row r="274" spans="1:15">
      <c r="A274" s="19" t="s">
        <v>871</v>
      </c>
      <c r="B274" s="21" t="s">
        <v>30</v>
      </c>
      <c r="C274" s="21" t="s">
        <v>75</v>
      </c>
      <c r="D274" s="21">
        <v>1</v>
      </c>
      <c r="E274" s="23">
        <v>40</v>
      </c>
      <c r="F274" s="23">
        <v>45</v>
      </c>
      <c r="G274" s="23">
        <v>12</v>
      </c>
      <c r="H274" s="23">
        <v>10</v>
      </c>
      <c r="I274" s="24" t="s">
        <v>853</v>
      </c>
      <c r="J274" s="27" t="s">
        <v>872</v>
      </c>
      <c r="K274" s="23">
        <v>3</v>
      </c>
      <c r="L274" s="23" t="s">
        <v>873</v>
      </c>
      <c r="M274" s="40" t="str">
        <f>IF(ISNUMBER(Log[[#This Row],[Day]]),TEXT(Log[[#This Row],[Day]],"0"),Log[[#This Row],[Day]])</f>
        <v>1</v>
      </c>
      <c r="N274" s="40" t="str">
        <f>_xlfn.XLOOKUP(Log[[#This Row],[Exercise]],Exercises[Exercise],Exercises[Category],"Ukendt",0)</f>
        <v>Compound</v>
      </c>
      <c r="O274" s="40" t="str">
        <f>_xlfn.XLOOKUP(Log[[#This Row],[Exercise]],Table5[Exercise],Table5[Primary],"Ukendt",0)</f>
        <v>Bryst</v>
      </c>
    </row>
    <row r="275" spans="1:15">
      <c r="A275" s="19" t="s">
        <v>874</v>
      </c>
      <c r="B275" s="21" t="s">
        <v>30</v>
      </c>
      <c r="C275" s="21" t="s">
        <v>41</v>
      </c>
      <c r="D275" s="21">
        <v>1</v>
      </c>
      <c r="E275" s="23">
        <v>70</v>
      </c>
      <c r="F275" s="23">
        <v>70</v>
      </c>
      <c r="G275" s="23">
        <v>6</v>
      </c>
      <c r="H275" s="23">
        <v>6</v>
      </c>
      <c r="I275" s="24" t="s">
        <v>853</v>
      </c>
      <c r="J275" s="27" t="s">
        <v>875</v>
      </c>
      <c r="K275" s="23">
        <v>3</v>
      </c>
      <c r="L275" s="23" t="s">
        <v>876</v>
      </c>
      <c r="M275" s="40" t="str">
        <f>IF(ISNUMBER(Log[[#This Row],[Day]]),TEXT(Log[[#This Row],[Day]],"0"),Log[[#This Row],[Day]])</f>
        <v>1</v>
      </c>
      <c r="N275" s="40" t="str">
        <f>_xlfn.XLOOKUP(Log[[#This Row],[Exercise]],Exercises[Exercise],Exercises[Category],"Ukendt",0)</f>
        <v>Compound</v>
      </c>
      <c r="O275" s="40" t="str">
        <f>_xlfn.XLOOKUP(Log[[#This Row],[Exercise]],Table5[Exercise],Table5[Primary],"Ukendt",0)</f>
        <v>Bryst</v>
      </c>
    </row>
    <row r="276" spans="1:15">
      <c r="A276" s="19" t="s">
        <v>874</v>
      </c>
      <c r="B276" s="21" t="s">
        <v>30</v>
      </c>
      <c r="C276" s="21" t="s">
        <v>35</v>
      </c>
      <c r="D276" s="21">
        <v>1</v>
      </c>
      <c r="E276" s="23">
        <v>0</v>
      </c>
      <c r="F276" s="23">
        <v>0</v>
      </c>
      <c r="G276" s="23">
        <v>12</v>
      </c>
      <c r="H276" s="23">
        <v>12</v>
      </c>
      <c r="I276" s="24" t="s">
        <v>853</v>
      </c>
      <c r="J276" s="27" t="s">
        <v>877</v>
      </c>
      <c r="K276" s="23">
        <v>3</v>
      </c>
      <c r="L276" s="23" t="s">
        <v>878</v>
      </c>
      <c r="M276" s="40" t="str">
        <f>IF(ISNUMBER(Log[[#This Row],[Day]]),TEXT(Log[[#This Row],[Day]],"0"),Log[[#This Row],[Day]])</f>
        <v>1</v>
      </c>
      <c r="N276" s="40" t="str">
        <f>_xlfn.XLOOKUP(Log[[#This Row],[Exercise]],Exercises[Exercise],Exercises[Category],"Ukendt",0)</f>
        <v>Compound</v>
      </c>
      <c r="O276" s="40" t="str">
        <f>_xlfn.XLOOKUP(Log[[#This Row],[Exercise]],Table5[Exercise],Table5[Primary],"Ukendt",0)</f>
        <v>Triceps</v>
      </c>
    </row>
    <row r="277" spans="1:15">
      <c r="A277" s="19" t="s">
        <v>879</v>
      </c>
      <c r="B277" s="21" t="s">
        <v>21</v>
      </c>
      <c r="C277" s="21" t="s">
        <v>157</v>
      </c>
      <c r="D277" s="21" t="s">
        <v>156</v>
      </c>
      <c r="E277" s="23">
        <v>894</v>
      </c>
      <c r="F277" s="23">
        <v>847</v>
      </c>
      <c r="G277" s="23">
        <v>4</v>
      </c>
      <c r="H277" s="23">
        <v>4</v>
      </c>
      <c r="I277" s="24" t="s">
        <v>880</v>
      </c>
      <c r="J277" s="27" t="s">
        <v>881</v>
      </c>
      <c r="K277" s="23">
        <v>1</v>
      </c>
      <c r="L277" s="23" t="s">
        <v>882</v>
      </c>
      <c r="M277" s="40" t="str">
        <f>IF(ISNUMBER(Log[[#This Row],[Day]]),TEXT(Log[[#This Row],[Day]],"0"),Log[[#This Row],[Day]])</f>
        <v>O</v>
      </c>
      <c r="N277" s="40" t="str">
        <f>_xlfn.XLOOKUP(Log[[#This Row],[Exercise]],Exercises[Exercise],Exercises[Category],"Ukendt",0)</f>
        <v>Compound</v>
      </c>
      <c r="O277" s="40" t="str">
        <f>_xlfn.XLOOKUP(Log[[#This Row],[Exercise]],Table5[Exercise],Table5[Primary],"Ukendt",0)</f>
        <v>Ukendt</v>
      </c>
    </row>
    <row r="278" spans="1:15">
      <c r="A278" s="19" t="s">
        <v>883</v>
      </c>
      <c r="B278" s="21" t="s">
        <v>56</v>
      </c>
      <c r="C278" s="21" t="s">
        <v>206</v>
      </c>
      <c r="D278" s="21">
        <v>1</v>
      </c>
      <c r="E278" s="23">
        <v>60</v>
      </c>
      <c r="F278" s="23">
        <v>60</v>
      </c>
      <c r="G278" s="23">
        <v>8</v>
      </c>
      <c r="H278" s="23">
        <v>10</v>
      </c>
      <c r="I278" s="24" t="s">
        <v>880</v>
      </c>
      <c r="J278" s="27" t="s">
        <v>884</v>
      </c>
      <c r="K278" s="23">
        <v>3</v>
      </c>
      <c r="L278" s="23" t="s">
        <v>885</v>
      </c>
      <c r="M278" s="40" t="str">
        <f>IF(ISNUMBER(Log[[#This Row],[Day]]),TEXT(Log[[#This Row],[Day]],"0"),Log[[#This Row],[Day]])</f>
        <v>1</v>
      </c>
      <c r="N278" s="40" t="str">
        <f>_xlfn.XLOOKUP(Log[[#This Row],[Exercise]],Exercises[Exercise],Exercises[Category],"Ukendt",0)</f>
        <v>Compound</v>
      </c>
      <c r="O278" s="40" t="str">
        <f>_xlfn.XLOOKUP(Log[[#This Row],[Exercise]],Table5[Exercise],Table5[Primary],"Ukendt",0)</f>
        <v>Ukendt</v>
      </c>
    </row>
    <row r="279" spans="1:15">
      <c r="A279" s="19" t="s">
        <v>886</v>
      </c>
      <c r="B279" s="21" t="s">
        <v>46</v>
      </c>
      <c r="C279" s="21" t="s">
        <v>181</v>
      </c>
      <c r="D279" s="21">
        <v>2</v>
      </c>
      <c r="E279" s="23">
        <v>70</v>
      </c>
      <c r="F279" s="23">
        <v>70</v>
      </c>
      <c r="G279" s="23">
        <v>12</v>
      </c>
      <c r="H279" s="23">
        <v>12</v>
      </c>
      <c r="I279" s="24" t="s">
        <v>880</v>
      </c>
      <c r="J279" s="27" t="s">
        <v>887</v>
      </c>
      <c r="K279" s="23">
        <v>3</v>
      </c>
      <c r="L279" s="23" t="s">
        <v>888</v>
      </c>
      <c r="M279" s="40" t="str">
        <f>IF(ISNUMBER(Log[[#This Row],[Day]]),TEXT(Log[[#This Row],[Day]],"0"),Log[[#This Row],[Day]])</f>
        <v>2</v>
      </c>
      <c r="N279" s="40" t="str">
        <f>_xlfn.XLOOKUP(Log[[#This Row],[Exercise]],Exercises[Exercise],Exercises[Category],"Ukendt",0)</f>
        <v>Compound</v>
      </c>
      <c r="O279" s="40" t="str">
        <f>_xlfn.XLOOKUP(Log[[#This Row],[Exercise]],Table5[Exercise],Table5[Primary],"Ukendt",0)</f>
        <v>Ukendt</v>
      </c>
    </row>
    <row r="280" spans="1:15">
      <c r="A280" s="19" t="s">
        <v>886</v>
      </c>
      <c r="B280" s="21" t="s">
        <v>46</v>
      </c>
      <c r="C280" s="21" t="s">
        <v>115</v>
      </c>
      <c r="D280" s="21">
        <v>2</v>
      </c>
      <c r="E280" s="23">
        <v>145</v>
      </c>
      <c r="F280" s="23">
        <v>145</v>
      </c>
      <c r="G280" s="23">
        <v>12</v>
      </c>
      <c r="H280" s="23">
        <v>12</v>
      </c>
      <c r="I280" s="24" t="s">
        <v>880</v>
      </c>
      <c r="J280" s="27" t="s">
        <v>889</v>
      </c>
      <c r="K280" s="23">
        <v>3</v>
      </c>
      <c r="L280" s="23" t="s">
        <v>890</v>
      </c>
      <c r="M280" s="40" t="str">
        <f>IF(ISNUMBER(Log[[#This Row],[Day]]),TEXT(Log[[#This Row],[Day]],"0"),Log[[#This Row],[Day]])</f>
        <v>2</v>
      </c>
      <c r="N280" s="40" t="str">
        <f>_xlfn.XLOOKUP(Log[[#This Row],[Exercise]],Exercises[Exercise],Exercises[Category],"Ukendt",0)</f>
        <v>Isolation</v>
      </c>
      <c r="O280" s="40" t="str">
        <f>_xlfn.XLOOKUP(Log[[#This Row],[Exercise]],Table5[Exercise],Table5[Primary],"Ukendt",0)</f>
        <v>Lår</v>
      </c>
    </row>
    <row r="281" spans="1:15">
      <c r="A281" s="19" t="s">
        <v>891</v>
      </c>
      <c r="B281" s="21" t="s">
        <v>21</v>
      </c>
      <c r="C281" s="21" t="s">
        <v>97</v>
      </c>
      <c r="D281" s="21">
        <v>2</v>
      </c>
      <c r="E281" s="23">
        <v>0</v>
      </c>
      <c r="F281" s="23">
        <v>0</v>
      </c>
      <c r="G281" s="23">
        <v>15</v>
      </c>
      <c r="H281" s="23">
        <v>15</v>
      </c>
      <c r="I281" s="24" t="s">
        <v>880</v>
      </c>
      <c r="J281" s="27" t="s">
        <v>892</v>
      </c>
      <c r="K281" s="23">
        <v>3</v>
      </c>
      <c r="L281" s="23" t="s">
        <v>893</v>
      </c>
      <c r="M281" s="40" t="str">
        <f>IF(ISNUMBER(Log[[#This Row],[Day]]),TEXT(Log[[#This Row],[Day]],"0"),Log[[#This Row],[Day]])</f>
        <v>2</v>
      </c>
      <c r="N281" s="40" t="str">
        <f>_xlfn.XLOOKUP(Log[[#This Row],[Exercise]],Exercises[Exercise],Exercises[Category],"Ukendt",0)</f>
        <v>Core</v>
      </c>
      <c r="O281" s="40" t="str">
        <f>_xlfn.XLOOKUP(Log[[#This Row],[Exercise]],Table5[Exercise],Table5[Primary],"Ukendt",0)</f>
        <v>Mave</v>
      </c>
    </row>
    <row r="282" spans="1:15">
      <c r="A282" s="19" t="s">
        <v>891</v>
      </c>
      <c r="B282" s="21" t="s">
        <v>30</v>
      </c>
      <c r="C282" s="21" t="s">
        <v>208</v>
      </c>
      <c r="D282" s="21">
        <v>1</v>
      </c>
      <c r="E282" s="23"/>
      <c r="F282" s="23"/>
      <c r="G282" s="23">
        <v>8</v>
      </c>
      <c r="H282" s="23">
        <v>8</v>
      </c>
      <c r="I282" s="24" t="s">
        <v>880</v>
      </c>
      <c r="J282" s="27" t="s">
        <v>894</v>
      </c>
      <c r="K282" s="23">
        <v>3</v>
      </c>
      <c r="L282" s="23" t="s">
        <v>895</v>
      </c>
      <c r="M282" s="40" t="str">
        <f>IF(ISNUMBER(Log[[#This Row],[Day]]),TEXT(Log[[#This Row],[Day]],"0"),Log[[#This Row],[Day]])</f>
        <v>1</v>
      </c>
      <c r="N282" s="40" t="str">
        <f>_xlfn.XLOOKUP(Log[[#This Row],[Exercise]],Exercises[Exercise],Exercises[Category],"Ukendt",0)</f>
        <v>Isolation</v>
      </c>
      <c r="O282" s="40" t="str">
        <f>_xlfn.XLOOKUP(Log[[#This Row],[Exercise]],Table5[Exercise],Table5[Primary],"Ukendt",0)</f>
        <v>Ukendt</v>
      </c>
    </row>
    <row r="283" spans="1:15">
      <c r="A283" s="19" t="s">
        <v>896</v>
      </c>
      <c r="B283" s="21" t="s">
        <v>56</v>
      </c>
      <c r="C283" s="21" t="s">
        <v>131</v>
      </c>
      <c r="D283" s="21">
        <v>2</v>
      </c>
      <c r="E283" s="23">
        <v>85</v>
      </c>
      <c r="F283" s="23">
        <v>85</v>
      </c>
      <c r="G283" s="23">
        <v>12</v>
      </c>
      <c r="H283" s="23">
        <v>12</v>
      </c>
      <c r="I283" s="24" t="s">
        <v>880</v>
      </c>
      <c r="J283" s="27" t="s">
        <v>897</v>
      </c>
      <c r="K283" s="23">
        <v>3</v>
      </c>
      <c r="L283" s="23" t="s">
        <v>898</v>
      </c>
      <c r="M283" s="40" t="str">
        <f>IF(ISNUMBER(Log[[#This Row],[Day]]),TEXT(Log[[#This Row],[Day]],"0"),Log[[#This Row],[Day]])</f>
        <v>2</v>
      </c>
      <c r="N283" s="40" t="str">
        <f>_xlfn.XLOOKUP(Log[[#This Row],[Exercise]],Exercises[Exercise],Exercises[Category],"Ukendt",0)</f>
        <v>Isolation</v>
      </c>
      <c r="O283" s="40" t="str">
        <f>_xlfn.XLOOKUP(Log[[#This Row],[Exercise]],Table5[Exercise],Table5[Primary],"Ukendt",0)</f>
        <v>Ukendt</v>
      </c>
    </row>
    <row r="284" spans="1:15">
      <c r="A284" s="19" t="s">
        <v>899</v>
      </c>
      <c r="B284" s="21" t="s">
        <v>56</v>
      </c>
      <c r="C284" s="21" t="s">
        <v>59</v>
      </c>
      <c r="D284" s="21">
        <v>2</v>
      </c>
      <c r="E284" s="23">
        <v>35</v>
      </c>
      <c r="F284" s="23">
        <v>35</v>
      </c>
      <c r="G284" s="23">
        <v>12</v>
      </c>
      <c r="H284" s="23">
        <v>12</v>
      </c>
      <c r="I284" s="24" t="s">
        <v>880</v>
      </c>
      <c r="J284" s="27" t="s">
        <v>900</v>
      </c>
      <c r="K284" s="23">
        <v>3</v>
      </c>
      <c r="L284" s="23" t="s">
        <v>901</v>
      </c>
      <c r="M284" s="40" t="str">
        <f>IF(ISNUMBER(Log[[#This Row],[Day]]),TEXT(Log[[#This Row],[Day]],"0"),Log[[#This Row],[Day]])</f>
        <v>2</v>
      </c>
      <c r="N284" s="40" t="str">
        <f>_xlfn.XLOOKUP(Log[[#This Row],[Exercise]],Exercises[Exercise],Exercises[Category],"Ukendt",0)</f>
        <v>Stabilization</v>
      </c>
      <c r="O284" s="40" t="str">
        <f>_xlfn.XLOOKUP(Log[[#This Row],[Exercise]],Table5[Exercise],Table5[Primary],"Ukendt",0)</f>
        <v>Rotatormanchet</v>
      </c>
    </row>
    <row r="285" spans="1:15">
      <c r="A285" s="19" t="s">
        <v>902</v>
      </c>
      <c r="B285" s="21" t="s">
        <v>21</v>
      </c>
      <c r="C285" s="21" t="s">
        <v>157</v>
      </c>
      <c r="D285" s="21" t="s">
        <v>156</v>
      </c>
      <c r="E285" s="23">
        <v>847</v>
      </c>
      <c r="F285" s="23">
        <v>836</v>
      </c>
      <c r="G285" s="23">
        <v>4</v>
      </c>
      <c r="H285" s="23">
        <v>4</v>
      </c>
      <c r="I285" s="24" t="s">
        <v>903</v>
      </c>
      <c r="J285" s="27" t="s">
        <v>904</v>
      </c>
      <c r="K285" s="23">
        <v>1</v>
      </c>
      <c r="L285" s="23" t="s">
        <v>905</v>
      </c>
      <c r="M285" s="40" t="str">
        <f>IF(ISNUMBER(Log[[#This Row],[Day]]),TEXT(Log[[#This Row],[Day]],"0"),Log[[#This Row],[Day]])</f>
        <v>O</v>
      </c>
      <c r="N285" s="40" t="str">
        <f>_xlfn.XLOOKUP(Log[[#This Row],[Exercise]],Exercises[Exercise],Exercises[Category],"Ukendt",0)</f>
        <v>Compound</v>
      </c>
      <c r="O285" s="40" t="str">
        <f>_xlfn.XLOOKUP(Log[[#This Row],[Exercise]],Table5[Exercise],Table5[Primary],"Ukendt",0)</f>
        <v>Ukendt</v>
      </c>
    </row>
    <row r="286" spans="1:15">
      <c r="A286" s="19" t="s">
        <v>906</v>
      </c>
      <c r="B286" s="21" t="s">
        <v>30</v>
      </c>
      <c r="C286" s="21" t="s">
        <v>41</v>
      </c>
      <c r="D286" s="21">
        <v>1</v>
      </c>
      <c r="E286" s="23">
        <v>70</v>
      </c>
      <c r="F286" s="23">
        <v>70</v>
      </c>
      <c r="G286" s="23">
        <v>6</v>
      </c>
      <c r="H286" s="23">
        <v>6</v>
      </c>
      <c r="I286" s="24" t="s">
        <v>903</v>
      </c>
      <c r="J286" s="27" t="s">
        <v>907</v>
      </c>
      <c r="K286" s="23">
        <v>3</v>
      </c>
      <c r="L286" s="23" t="s">
        <v>908</v>
      </c>
      <c r="M286" s="40" t="str">
        <f>IF(ISNUMBER(Log[[#This Row],[Day]]),TEXT(Log[[#This Row],[Day]],"0"),Log[[#This Row],[Day]])</f>
        <v>1</v>
      </c>
      <c r="N286" s="40" t="str">
        <f>_xlfn.XLOOKUP(Log[[#This Row],[Exercise]],Exercises[Exercise],Exercises[Category],"Ukendt",0)</f>
        <v>Compound</v>
      </c>
      <c r="O286" s="40" t="str">
        <f>_xlfn.XLOOKUP(Log[[#This Row],[Exercise]],Table5[Exercise],Table5[Primary],"Ukendt",0)</f>
        <v>Bryst</v>
      </c>
    </row>
    <row r="287" spans="1:15">
      <c r="A287" s="19" t="s">
        <v>909</v>
      </c>
      <c r="B287" s="21" t="s">
        <v>30</v>
      </c>
      <c r="C287" s="21" t="s">
        <v>208</v>
      </c>
      <c r="D287" s="21">
        <v>1</v>
      </c>
      <c r="E287" s="23"/>
      <c r="F287" s="23"/>
      <c r="G287" s="23">
        <v>8</v>
      </c>
      <c r="H287" s="23">
        <v>8</v>
      </c>
      <c r="I287" s="24" t="s">
        <v>903</v>
      </c>
      <c r="J287" s="27" t="s">
        <v>910</v>
      </c>
      <c r="K287" s="23">
        <v>3</v>
      </c>
      <c r="L287" s="23" t="s">
        <v>911</v>
      </c>
      <c r="M287" s="40" t="str">
        <f>IF(ISNUMBER(Log[[#This Row],[Day]]),TEXT(Log[[#This Row],[Day]],"0"),Log[[#This Row],[Day]])</f>
        <v>1</v>
      </c>
      <c r="N287" s="40" t="str">
        <f>_xlfn.XLOOKUP(Log[[#This Row],[Exercise]],Exercises[Exercise],Exercises[Category],"Ukendt",0)</f>
        <v>Isolation</v>
      </c>
      <c r="O287" s="40" t="str">
        <f>_xlfn.XLOOKUP(Log[[#This Row],[Exercise]],Table5[Exercise],Table5[Primary],"Ukendt",0)</f>
        <v>Ukendt</v>
      </c>
    </row>
    <row r="288" spans="1:15">
      <c r="A288" s="19" t="s">
        <v>912</v>
      </c>
      <c r="B288" s="21" t="s">
        <v>56</v>
      </c>
      <c r="C288" s="21" t="s">
        <v>143</v>
      </c>
      <c r="D288" s="21">
        <v>1</v>
      </c>
      <c r="E288" s="23">
        <v>0</v>
      </c>
      <c r="F288" s="23">
        <v>0</v>
      </c>
      <c r="G288" s="23">
        <v>8</v>
      </c>
      <c r="H288" s="23">
        <v>8</v>
      </c>
      <c r="I288" s="24" t="s">
        <v>903</v>
      </c>
      <c r="J288" s="27" t="s">
        <v>913</v>
      </c>
      <c r="K288" s="23">
        <v>3</v>
      </c>
      <c r="L288" s="23" t="s">
        <v>914</v>
      </c>
      <c r="M288" s="40" t="str">
        <f>IF(ISNUMBER(Log[[#This Row],[Day]]),TEXT(Log[[#This Row],[Day]],"0"),Log[[#This Row],[Day]])</f>
        <v>1</v>
      </c>
      <c r="N288" s="40" t="str">
        <f>_xlfn.XLOOKUP(Log[[#This Row],[Exercise]],Exercises[Exercise],Exercises[Category],"Ukendt",0)</f>
        <v>Compound</v>
      </c>
      <c r="O288" s="40" t="str">
        <f>_xlfn.XLOOKUP(Log[[#This Row],[Exercise]],Table5[Exercise],Table5[Primary],"Ukendt",0)</f>
        <v>Ukendt</v>
      </c>
    </row>
    <row r="289" spans="1:15">
      <c r="A289" s="19" t="s">
        <v>915</v>
      </c>
      <c r="B289" s="21" t="s">
        <v>56</v>
      </c>
      <c r="C289" s="21" t="s">
        <v>153</v>
      </c>
      <c r="D289" s="21">
        <v>1</v>
      </c>
      <c r="E289" s="23">
        <v>75</v>
      </c>
      <c r="F289" s="23">
        <v>75</v>
      </c>
      <c r="G289" s="23">
        <v>10</v>
      </c>
      <c r="H289" s="23">
        <v>10</v>
      </c>
      <c r="I289" s="24" t="s">
        <v>903</v>
      </c>
      <c r="J289" s="27" t="s">
        <v>916</v>
      </c>
      <c r="K289" s="23">
        <v>3</v>
      </c>
      <c r="L289" s="23" t="s">
        <v>917</v>
      </c>
      <c r="M289" s="40" t="str">
        <f>IF(ISNUMBER(Log[[#This Row],[Day]]),TEXT(Log[[#This Row],[Day]],"0"),Log[[#This Row],[Day]])</f>
        <v>1</v>
      </c>
      <c r="N289" s="40" t="str">
        <f>_xlfn.XLOOKUP(Log[[#This Row],[Exercise]],Exercises[Exercise],Exercises[Category],"Ukendt",0)</f>
        <v>Stabilization</v>
      </c>
      <c r="O289" s="40" t="str">
        <f>_xlfn.XLOOKUP(Log[[#This Row],[Exercise]],Table5[Exercise],Table5[Primary],"Ukendt",0)</f>
        <v>Ukendt</v>
      </c>
    </row>
    <row r="290" spans="1:15">
      <c r="A290" s="19" t="s">
        <v>915</v>
      </c>
      <c r="B290" s="21" t="s">
        <v>46</v>
      </c>
      <c r="C290" s="21" t="s">
        <v>79</v>
      </c>
      <c r="D290" s="21">
        <v>1</v>
      </c>
      <c r="E290" s="23">
        <v>20</v>
      </c>
      <c r="F290" s="23">
        <v>20</v>
      </c>
      <c r="G290" s="23">
        <v>20</v>
      </c>
      <c r="H290" s="23">
        <v>20</v>
      </c>
      <c r="I290" s="24" t="s">
        <v>903</v>
      </c>
      <c r="J290" s="27" t="s">
        <v>918</v>
      </c>
      <c r="K290" s="23">
        <v>3</v>
      </c>
      <c r="L290" s="23" t="s">
        <v>919</v>
      </c>
      <c r="M290" s="40" t="str">
        <f>IF(ISNUMBER(Log[[#This Row],[Day]]),TEXT(Log[[#This Row],[Day]],"0"),Log[[#This Row],[Day]])</f>
        <v>1</v>
      </c>
      <c r="N290" s="40" t="str">
        <f>_xlfn.XLOOKUP(Log[[#This Row],[Exercise]],Exercises[Exercise],Exercises[Category],"Ukendt",0)</f>
        <v>Compound</v>
      </c>
      <c r="O290" s="40" t="str">
        <f>_xlfn.XLOOKUP(Log[[#This Row],[Exercise]],Table5[Exercise],Table5[Primary],"Ukendt",0)</f>
        <v>Lår</v>
      </c>
    </row>
    <row r="291" spans="1:15">
      <c r="A291" s="19" t="s">
        <v>920</v>
      </c>
      <c r="B291" s="21" t="s">
        <v>56</v>
      </c>
      <c r="C291" s="21" t="s">
        <v>174</v>
      </c>
      <c r="D291" s="21">
        <v>1</v>
      </c>
      <c r="E291" s="23">
        <v>30</v>
      </c>
      <c r="F291" s="23">
        <v>30</v>
      </c>
      <c r="G291" s="23">
        <v>12</v>
      </c>
      <c r="H291" s="23">
        <v>12</v>
      </c>
      <c r="I291" s="24" t="s">
        <v>903</v>
      </c>
      <c r="J291" s="27" t="s">
        <v>921</v>
      </c>
      <c r="K291" s="23">
        <v>3</v>
      </c>
      <c r="L291" s="23" t="s">
        <v>922</v>
      </c>
      <c r="M291" s="40" t="str">
        <f>IF(ISNUMBER(Log[[#This Row],[Day]]),TEXT(Log[[#This Row],[Day]],"0"),Log[[#This Row],[Day]])</f>
        <v>1</v>
      </c>
      <c r="N291" s="40" t="str">
        <f>_xlfn.XLOOKUP(Log[[#This Row],[Exercise]],Exercises[Exercise],Exercises[Category],"Ukendt",0)</f>
        <v>Compound</v>
      </c>
      <c r="O291" s="40" t="str">
        <f>_xlfn.XLOOKUP(Log[[#This Row],[Exercise]],Table5[Exercise],Table5[Primary],"Ukendt",0)</f>
        <v>Ukendt</v>
      </c>
    </row>
    <row r="292" spans="1:15">
      <c r="A292" s="19" t="s">
        <v>923</v>
      </c>
      <c r="B292" s="21" t="s">
        <v>30</v>
      </c>
      <c r="C292" s="21" t="s">
        <v>75</v>
      </c>
      <c r="D292" s="21">
        <v>1</v>
      </c>
      <c r="E292" s="23">
        <v>45</v>
      </c>
      <c r="F292" s="23">
        <v>45</v>
      </c>
      <c r="G292" s="23">
        <v>10</v>
      </c>
      <c r="H292" s="23">
        <v>10</v>
      </c>
      <c r="I292" s="24" t="s">
        <v>903</v>
      </c>
      <c r="J292" s="27" t="s">
        <v>924</v>
      </c>
      <c r="K292" s="23">
        <v>3</v>
      </c>
      <c r="L292" s="23" t="s">
        <v>925</v>
      </c>
      <c r="M292" s="40" t="str">
        <f>IF(ISNUMBER(Log[[#This Row],[Day]]),TEXT(Log[[#This Row],[Day]],"0"),Log[[#This Row],[Day]])</f>
        <v>1</v>
      </c>
      <c r="N292" s="40" t="str">
        <f>_xlfn.XLOOKUP(Log[[#This Row],[Exercise]],Exercises[Exercise],Exercises[Category],"Ukendt",0)</f>
        <v>Compound</v>
      </c>
      <c r="O292" s="40" t="str">
        <f>_xlfn.XLOOKUP(Log[[#This Row],[Exercise]],Table5[Exercise],Table5[Primary],"Ukendt",0)</f>
        <v>Bryst</v>
      </c>
    </row>
    <row r="293" spans="1:15">
      <c r="A293" s="19" t="s">
        <v>926</v>
      </c>
      <c r="B293" s="21" t="s">
        <v>46</v>
      </c>
      <c r="C293" s="21" t="s">
        <v>177</v>
      </c>
      <c r="D293" s="21">
        <v>1</v>
      </c>
      <c r="E293" s="23">
        <v>10</v>
      </c>
      <c r="F293" s="23"/>
      <c r="G293" s="23">
        <v>12</v>
      </c>
      <c r="H293" s="23">
        <v>10</v>
      </c>
      <c r="I293" s="24" t="s">
        <v>903</v>
      </c>
      <c r="J293" s="27" t="s">
        <v>927</v>
      </c>
      <c r="K293" s="23">
        <v>3</v>
      </c>
      <c r="L293" s="23" t="s">
        <v>928</v>
      </c>
      <c r="M293" s="40" t="str">
        <f>IF(ISNUMBER(Log[[#This Row],[Day]]),TEXT(Log[[#This Row],[Day]],"0"),Log[[#This Row],[Day]])</f>
        <v>1</v>
      </c>
      <c r="N293" s="40" t="str">
        <f>_xlfn.XLOOKUP(Log[[#This Row],[Exercise]],Exercises[Exercise],Exercises[Category],"Ukendt",0)</f>
        <v>Compound</v>
      </c>
      <c r="O293" s="40" t="str">
        <f>_xlfn.XLOOKUP(Log[[#This Row],[Exercise]],Table5[Exercise],Table5[Primary],"Ukendt",0)</f>
        <v>Ukendt</v>
      </c>
    </row>
    <row r="294" spans="1:15">
      <c r="A294" s="19" t="s">
        <v>929</v>
      </c>
      <c r="B294" s="21" t="s">
        <v>21</v>
      </c>
      <c r="C294" s="21" t="s">
        <v>157</v>
      </c>
      <c r="D294" s="21" t="s">
        <v>156</v>
      </c>
      <c r="E294" s="23">
        <v>836</v>
      </c>
      <c r="F294" s="23">
        <v>836</v>
      </c>
      <c r="G294" s="23">
        <v>4</v>
      </c>
      <c r="H294" s="23">
        <v>4</v>
      </c>
      <c r="I294" s="24" t="s">
        <v>89</v>
      </c>
      <c r="J294" s="27" t="s">
        <v>930</v>
      </c>
      <c r="K294" s="23">
        <v>1</v>
      </c>
      <c r="L294" s="23" t="s">
        <v>931</v>
      </c>
      <c r="M294" s="40" t="str">
        <f>IF(ISNUMBER(Log[[#This Row],[Day]]),TEXT(Log[[#This Row],[Day]],"0"),Log[[#This Row],[Day]])</f>
        <v>O</v>
      </c>
      <c r="N294" s="40" t="str">
        <f>_xlfn.XLOOKUP(Log[[#This Row],[Exercise]],Exercises[Exercise],Exercises[Category],"Ukendt",0)</f>
        <v>Compound</v>
      </c>
      <c r="O294" s="40" t="str">
        <f>_xlfn.XLOOKUP(Log[[#This Row],[Exercise]],Table5[Exercise],Table5[Primary],"Ukendt",0)</f>
        <v>Ukendt</v>
      </c>
    </row>
    <row r="295" spans="1:15">
      <c r="A295" s="19" t="s">
        <v>929</v>
      </c>
      <c r="B295" s="21" t="s">
        <v>46</v>
      </c>
      <c r="C295" s="21" t="s">
        <v>115</v>
      </c>
      <c r="D295" s="21">
        <v>2</v>
      </c>
      <c r="E295" s="23">
        <v>145</v>
      </c>
      <c r="F295" s="23">
        <v>145</v>
      </c>
      <c r="G295" s="23">
        <v>12</v>
      </c>
      <c r="H295" s="23">
        <v>12</v>
      </c>
      <c r="I295" s="24" t="s">
        <v>89</v>
      </c>
      <c r="J295" s="27" t="s">
        <v>932</v>
      </c>
      <c r="K295" s="23">
        <v>3</v>
      </c>
      <c r="L295" s="23" t="s">
        <v>933</v>
      </c>
      <c r="M295" s="40" t="str">
        <f>IF(ISNUMBER(Log[[#This Row],[Day]]),TEXT(Log[[#This Row],[Day]],"0"),Log[[#This Row],[Day]])</f>
        <v>2</v>
      </c>
      <c r="N295" s="40" t="str">
        <f>_xlfn.XLOOKUP(Log[[#This Row],[Exercise]],Exercises[Exercise],Exercises[Category],"Ukendt",0)</f>
        <v>Isolation</v>
      </c>
      <c r="O295" s="40" t="str">
        <f>_xlfn.XLOOKUP(Log[[#This Row],[Exercise]],Table5[Exercise],Table5[Primary],"Ukendt",0)</f>
        <v>Lår</v>
      </c>
    </row>
    <row r="296" spans="1:15">
      <c r="A296" s="19" t="s">
        <v>929</v>
      </c>
      <c r="B296" s="21" t="s">
        <v>46</v>
      </c>
      <c r="C296" s="21" t="s">
        <v>181</v>
      </c>
      <c r="D296" s="21">
        <v>2</v>
      </c>
      <c r="E296" s="23">
        <v>70</v>
      </c>
      <c r="F296" s="23">
        <v>70</v>
      </c>
      <c r="G296" s="23">
        <v>12</v>
      </c>
      <c r="H296" s="23">
        <v>12</v>
      </c>
      <c r="I296" s="24" t="s">
        <v>89</v>
      </c>
      <c r="J296" s="27" t="s">
        <v>934</v>
      </c>
      <c r="K296" s="23">
        <v>3</v>
      </c>
      <c r="L296" s="23" t="s">
        <v>935</v>
      </c>
      <c r="M296" s="40" t="str">
        <f>IF(ISNUMBER(Log[[#This Row],[Day]]),TEXT(Log[[#This Row],[Day]],"0"),Log[[#This Row],[Day]])</f>
        <v>2</v>
      </c>
      <c r="N296" s="40" t="str">
        <f>_xlfn.XLOOKUP(Log[[#This Row],[Exercise]],Exercises[Exercise],Exercises[Category],"Ukendt",0)</f>
        <v>Compound</v>
      </c>
      <c r="O296" s="40" t="str">
        <f>_xlfn.XLOOKUP(Log[[#This Row],[Exercise]],Table5[Exercise],Table5[Primary],"Ukendt",0)</f>
        <v>Ukendt</v>
      </c>
    </row>
    <row r="297" spans="1:15">
      <c r="A297" s="19" t="s">
        <v>936</v>
      </c>
      <c r="B297" s="21" t="s">
        <v>21</v>
      </c>
      <c r="C297" s="21" t="s">
        <v>88</v>
      </c>
      <c r="D297" s="21">
        <v>3</v>
      </c>
      <c r="E297" s="23">
        <v>40</v>
      </c>
      <c r="F297" s="23">
        <v>40</v>
      </c>
      <c r="G297" s="23">
        <v>3</v>
      </c>
      <c r="H297" s="23">
        <v>3</v>
      </c>
      <c r="I297" s="24" t="s">
        <v>89</v>
      </c>
      <c r="J297" s="27" t="s">
        <v>937</v>
      </c>
      <c r="K297" s="23">
        <v>3</v>
      </c>
      <c r="L297" s="23" t="s">
        <v>938</v>
      </c>
      <c r="M297" s="40" t="str">
        <f>IF(ISNUMBER(Log[[#This Row],[Day]]),TEXT(Log[[#This Row],[Day]],"0"),Log[[#This Row],[Day]])</f>
        <v>3</v>
      </c>
      <c r="N297" s="40" t="str">
        <f>_xlfn.XLOOKUP(Log[[#This Row],[Exercise]],Exercises[Exercise],Exercises[Category],"Ukendt",0)</f>
        <v>Stabilization</v>
      </c>
      <c r="O297" s="40" t="str">
        <f>_xlfn.XLOOKUP(Log[[#This Row],[Exercise]],Table5[Exercise],Table5[Primary],"Ukendt",0)</f>
        <v>Core</v>
      </c>
    </row>
    <row r="298" spans="1:15">
      <c r="A298" s="19" t="s">
        <v>936</v>
      </c>
      <c r="B298" s="21" t="s">
        <v>30</v>
      </c>
      <c r="C298" s="21" t="s">
        <v>208</v>
      </c>
      <c r="D298" s="21">
        <v>1</v>
      </c>
      <c r="E298" s="23"/>
      <c r="F298" s="23"/>
      <c r="G298" s="23">
        <v>8</v>
      </c>
      <c r="H298" s="23">
        <v>8</v>
      </c>
      <c r="I298" s="24" t="s">
        <v>89</v>
      </c>
      <c r="J298" s="27" t="s">
        <v>939</v>
      </c>
      <c r="K298" s="23">
        <v>3</v>
      </c>
      <c r="L298" s="23" t="s">
        <v>940</v>
      </c>
      <c r="M298" s="40" t="str">
        <f>IF(ISNUMBER(Log[[#This Row],[Day]]),TEXT(Log[[#This Row],[Day]],"0"),Log[[#This Row],[Day]])</f>
        <v>1</v>
      </c>
      <c r="N298" s="40" t="str">
        <f>_xlfn.XLOOKUP(Log[[#This Row],[Exercise]],Exercises[Exercise],Exercises[Category],"Ukendt",0)</f>
        <v>Isolation</v>
      </c>
      <c r="O298" s="40" t="str">
        <f>_xlfn.XLOOKUP(Log[[#This Row],[Exercise]],Table5[Exercise],Table5[Primary],"Ukendt",0)</f>
        <v>Ukendt</v>
      </c>
    </row>
    <row r="299" spans="1:15">
      <c r="A299" s="19" t="s">
        <v>936</v>
      </c>
      <c r="B299" s="21" t="s">
        <v>30</v>
      </c>
      <c r="C299" s="21" t="s">
        <v>201</v>
      </c>
      <c r="D299" s="21">
        <v>1</v>
      </c>
      <c r="E299" s="23">
        <v>60</v>
      </c>
      <c r="F299" s="23">
        <v>60</v>
      </c>
      <c r="G299" s="23">
        <v>12</v>
      </c>
      <c r="H299" s="23">
        <v>12</v>
      </c>
      <c r="I299" s="24" t="s">
        <v>89</v>
      </c>
      <c r="J299" s="27" t="s">
        <v>941</v>
      </c>
      <c r="K299" s="23">
        <v>3</v>
      </c>
      <c r="L299" s="23" t="s">
        <v>942</v>
      </c>
      <c r="M299" s="40" t="str">
        <f>IF(ISNUMBER(Log[[#This Row],[Day]]),TEXT(Log[[#This Row],[Day]],"0"),Log[[#This Row],[Day]])</f>
        <v>1</v>
      </c>
      <c r="N299" s="40" t="str">
        <f>_xlfn.XLOOKUP(Log[[#This Row],[Exercise]],Exercises[Exercise],Exercises[Category],"Ukendt",0)</f>
        <v>Isolation</v>
      </c>
      <c r="O299" s="40" t="str">
        <f>_xlfn.XLOOKUP(Log[[#This Row],[Exercise]],Table5[Exercise],Table5[Primary],"Ukendt",0)</f>
        <v>Ukendt</v>
      </c>
    </row>
    <row r="300" spans="1:15">
      <c r="A300" s="19" t="s">
        <v>936</v>
      </c>
      <c r="B300" s="21" t="s">
        <v>56</v>
      </c>
      <c r="C300" s="21" t="s">
        <v>206</v>
      </c>
      <c r="D300" s="21">
        <v>1</v>
      </c>
      <c r="E300" s="23">
        <v>60</v>
      </c>
      <c r="F300" s="23">
        <v>70</v>
      </c>
      <c r="G300" s="23">
        <v>10</v>
      </c>
      <c r="H300" s="23">
        <v>10</v>
      </c>
      <c r="I300" s="24" t="s">
        <v>89</v>
      </c>
      <c r="J300" s="27" t="s">
        <v>943</v>
      </c>
      <c r="K300" s="23">
        <v>3</v>
      </c>
      <c r="L300" s="23" t="s">
        <v>944</v>
      </c>
      <c r="M300" s="40" t="str">
        <f>IF(ISNUMBER(Log[[#This Row],[Day]]),TEXT(Log[[#This Row],[Day]],"0"),Log[[#This Row],[Day]])</f>
        <v>1</v>
      </c>
      <c r="N300" s="40" t="str">
        <f>_xlfn.XLOOKUP(Log[[#This Row],[Exercise]],Exercises[Exercise],Exercises[Category],"Ukendt",0)</f>
        <v>Compound</v>
      </c>
      <c r="O300" s="40" t="str">
        <f>_xlfn.XLOOKUP(Log[[#This Row],[Exercise]],Table5[Exercise],Table5[Primary],"Ukendt",0)</f>
        <v>Ukendt</v>
      </c>
    </row>
    <row r="301" spans="1:15">
      <c r="A301" s="19" t="s">
        <v>945</v>
      </c>
      <c r="B301" s="21" t="s">
        <v>21</v>
      </c>
      <c r="C301" s="21" t="s">
        <v>157</v>
      </c>
      <c r="D301" s="21" t="s">
        <v>156</v>
      </c>
      <c r="E301" s="23">
        <v>836</v>
      </c>
      <c r="F301" s="23"/>
      <c r="G301" s="23">
        <v>4</v>
      </c>
      <c r="H301" s="23">
        <v>4</v>
      </c>
      <c r="I301" s="24" t="s">
        <v>946</v>
      </c>
      <c r="J301" s="27" t="s">
        <v>947</v>
      </c>
      <c r="K301" s="23">
        <v>1</v>
      </c>
      <c r="L301" s="23" t="s">
        <v>948</v>
      </c>
      <c r="M301" s="40" t="str">
        <f>IF(ISNUMBER(Log[[#This Row],[Day]]),TEXT(Log[[#This Row],[Day]],"0"),Log[[#This Row],[Day]])</f>
        <v>O</v>
      </c>
      <c r="N301" s="40" t="str">
        <f>_xlfn.XLOOKUP(Log[[#This Row],[Exercise]],Exercises[Exercise],Exercises[Category],"Ukendt",0)</f>
        <v>Compound</v>
      </c>
      <c r="O301" s="40" t="str">
        <f>_xlfn.XLOOKUP(Log[[#This Row],[Exercise]],Table5[Exercise],Table5[Primary],"Ukendt",0)</f>
        <v>Ukendt</v>
      </c>
    </row>
    <row r="302" spans="1:15">
      <c r="A302" s="19" t="s">
        <v>949</v>
      </c>
      <c r="B302" s="21" t="s">
        <v>56</v>
      </c>
      <c r="C302" s="21" t="s">
        <v>143</v>
      </c>
      <c r="D302" s="21">
        <v>1</v>
      </c>
      <c r="E302" s="23">
        <v>0</v>
      </c>
      <c r="F302" s="23">
        <v>0</v>
      </c>
      <c r="G302" s="23">
        <v>8</v>
      </c>
      <c r="H302" s="23">
        <v>8</v>
      </c>
      <c r="I302" s="24" t="s">
        <v>946</v>
      </c>
      <c r="J302" s="27" t="s">
        <v>950</v>
      </c>
      <c r="K302" s="23">
        <v>3</v>
      </c>
      <c r="L302" s="23" t="s">
        <v>951</v>
      </c>
      <c r="M302" s="40" t="str">
        <f>IF(ISNUMBER(Log[[#This Row],[Day]]),TEXT(Log[[#This Row],[Day]],"0"),Log[[#This Row],[Day]])</f>
        <v>1</v>
      </c>
      <c r="N302" s="40" t="str">
        <f>_xlfn.XLOOKUP(Log[[#This Row],[Exercise]],Exercises[Exercise],Exercises[Category],"Ukendt",0)</f>
        <v>Compound</v>
      </c>
      <c r="O302" s="40" t="str">
        <f>_xlfn.XLOOKUP(Log[[#This Row],[Exercise]],Table5[Exercise],Table5[Primary],"Ukendt",0)</f>
        <v>Ukendt</v>
      </c>
    </row>
    <row r="303" spans="1:15">
      <c r="A303" s="19" t="s">
        <v>949</v>
      </c>
      <c r="B303" s="21" t="s">
        <v>46</v>
      </c>
      <c r="C303" s="21" t="s">
        <v>177</v>
      </c>
      <c r="D303" s="21">
        <v>1</v>
      </c>
      <c r="E303" s="23"/>
      <c r="F303" s="23">
        <v>30</v>
      </c>
      <c r="G303" s="23">
        <v>10</v>
      </c>
      <c r="H303" s="23">
        <v>10</v>
      </c>
      <c r="I303" s="24" t="s">
        <v>946</v>
      </c>
      <c r="J303" s="27" t="s">
        <v>952</v>
      </c>
      <c r="K303" s="23">
        <v>3</v>
      </c>
      <c r="L303" s="23" t="s">
        <v>953</v>
      </c>
      <c r="M303" s="40" t="str">
        <f>IF(ISNUMBER(Log[[#This Row],[Day]]),TEXT(Log[[#This Row],[Day]],"0"),Log[[#This Row],[Day]])</f>
        <v>1</v>
      </c>
      <c r="N303" s="40" t="str">
        <f>_xlfn.XLOOKUP(Log[[#This Row],[Exercise]],Exercises[Exercise],Exercises[Category],"Ukendt",0)</f>
        <v>Compound</v>
      </c>
      <c r="O303" s="40" t="str">
        <f>_xlfn.XLOOKUP(Log[[#This Row],[Exercise]],Table5[Exercise],Table5[Primary],"Ukendt",0)</f>
        <v>Ukendt</v>
      </c>
    </row>
    <row r="304" spans="1:15">
      <c r="A304" s="19" t="s">
        <v>954</v>
      </c>
      <c r="B304" s="21" t="s">
        <v>30</v>
      </c>
      <c r="C304" s="21" t="s">
        <v>41</v>
      </c>
      <c r="D304" s="21">
        <v>1</v>
      </c>
      <c r="E304" s="23">
        <v>70</v>
      </c>
      <c r="F304" s="23">
        <v>70</v>
      </c>
      <c r="G304" s="23">
        <v>6</v>
      </c>
      <c r="H304" s="23">
        <v>6</v>
      </c>
      <c r="I304" s="24" t="s">
        <v>946</v>
      </c>
      <c r="J304" s="27" t="s">
        <v>955</v>
      </c>
      <c r="K304" s="23">
        <v>3</v>
      </c>
      <c r="L304" s="23" t="s">
        <v>956</v>
      </c>
      <c r="M304" s="40" t="str">
        <f>IF(ISNUMBER(Log[[#This Row],[Day]]),TEXT(Log[[#This Row],[Day]],"0"),Log[[#This Row],[Day]])</f>
        <v>1</v>
      </c>
      <c r="N304" s="40" t="str">
        <f>_xlfn.XLOOKUP(Log[[#This Row],[Exercise]],Exercises[Exercise],Exercises[Category],"Ukendt",0)</f>
        <v>Compound</v>
      </c>
      <c r="O304" s="40" t="str">
        <f>_xlfn.XLOOKUP(Log[[#This Row],[Exercise]],Table5[Exercise],Table5[Primary],"Ukendt",0)</f>
        <v>Bryst</v>
      </c>
    </row>
    <row r="305" spans="1:15">
      <c r="A305" s="19" t="s">
        <v>957</v>
      </c>
      <c r="B305" s="21" t="s">
        <v>56</v>
      </c>
      <c r="C305" s="21" t="s">
        <v>206</v>
      </c>
      <c r="D305" s="21">
        <v>1</v>
      </c>
      <c r="E305" s="23">
        <v>70</v>
      </c>
      <c r="F305" s="23">
        <v>70</v>
      </c>
      <c r="G305" s="23">
        <v>10</v>
      </c>
      <c r="H305" s="23">
        <v>10</v>
      </c>
      <c r="I305" s="24" t="s">
        <v>946</v>
      </c>
      <c r="J305" s="27" t="s">
        <v>958</v>
      </c>
      <c r="K305" s="23">
        <v>3</v>
      </c>
      <c r="L305" s="23" t="s">
        <v>959</v>
      </c>
      <c r="M305" s="40" t="str">
        <f>IF(ISNUMBER(Log[[#This Row],[Day]]),TEXT(Log[[#This Row],[Day]],"0"),Log[[#This Row],[Day]])</f>
        <v>1</v>
      </c>
      <c r="N305" s="40" t="str">
        <f>_xlfn.XLOOKUP(Log[[#This Row],[Exercise]],Exercises[Exercise],Exercises[Category],"Ukendt",0)</f>
        <v>Compound</v>
      </c>
      <c r="O305" s="40" t="str">
        <f>_xlfn.XLOOKUP(Log[[#This Row],[Exercise]],Table5[Exercise],Table5[Primary],"Ukendt",0)</f>
        <v>Ukendt</v>
      </c>
    </row>
    <row r="306" spans="1:15">
      <c r="A306" s="19" t="s">
        <v>960</v>
      </c>
      <c r="B306" s="21" t="s">
        <v>46</v>
      </c>
      <c r="C306" s="21" t="s">
        <v>79</v>
      </c>
      <c r="D306" s="21">
        <v>1</v>
      </c>
      <c r="E306" s="23">
        <v>20</v>
      </c>
      <c r="F306" s="23">
        <v>20</v>
      </c>
      <c r="G306" s="23">
        <v>20</v>
      </c>
      <c r="H306" s="23">
        <v>20</v>
      </c>
      <c r="I306" s="24" t="s">
        <v>946</v>
      </c>
      <c r="J306" s="27" t="s">
        <v>961</v>
      </c>
      <c r="K306" s="23">
        <v>3</v>
      </c>
      <c r="L306" s="23" t="s">
        <v>962</v>
      </c>
      <c r="M306" s="40" t="str">
        <f>IF(ISNUMBER(Log[[#This Row],[Day]]),TEXT(Log[[#This Row],[Day]],"0"),Log[[#This Row],[Day]])</f>
        <v>1</v>
      </c>
      <c r="N306" s="40" t="str">
        <f>_xlfn.XLOOKUP(Log[[#This Row],[Exercise]],Exercises[Exercise],Exercises[Category],"Ukendt",0)</f>
        <v>Compound</v>
      </c>
      <c r="O306" s="40" t="str">
        <f>_xlfn.XLOOKUP(Log[[#This Row],[Exercise]],Table5[Exercise],Table5[Primary],"Ukendt",0)</f>
        <v>Lår</v>
      </c>
    </row>
    <row r="307" spans="1:15">
      <c r="A307" s="19" t="s">
        <v>960</v>
      </c>
      <c r="B307" s="21" t="s">
        <v>21</v>
      </c>
      <c r="C307" s="21" t="s">
        <v>97</v>
      </c>
      <c r="D307" s="21">
        <v>2</v>
      </c>
      <c r="E307" s="23">
        <v>0</v>
      </c>
      <c r="F307" s="23">
        <v>0</v>
      </c>
      <c r="G307" s="23">
        <v>15</v>
      </c>
      <c r="H307" s="23">
        <v>16</v>
      </c>
      <c r="I307" s="24" t="s">
        <v>946</v>
      </c>
      <c r="J307" s="27" t="s">
        <v>963</v>
      </c>
      <c r="K307" s="23">
        <v>3</v>
      </c>
      <c r="L307" s="23" t="s">
        <v>964</v>
      </c>
      <c r="M307" s="40" t="str">
        <f>IF(ISNUMBER(Log[[#This Row],[Day]]),TEXT(Log[[#This Row],[Day]],"0"),Log[[#This Row],[Day]])</f>
        <v>2</v>
      </c>
      <c r="N307" s="40" t="str">
        <f>_xlfn.XLOOKUP(Log[[#This Row],[Exercise]],Exercises[Exercise],Exercises[Category],"Ukendt",0)</f>
        <v>Core</v>
      </c>
      <c r="O307" s="40" t="str">
        <f>_xlfn.XLOOKUP(Log[[#This Row],[Exercise]],Table5[Exercise],Table5[Primary],"Ukendt",0)</f>
        <v>Mave</v>
      </c>
    </row>
    <row r="308" spans="1:15">
      <c r="A308" s="19" t="s">
        <v>965</v>
      </c>
      <c r="B308" s="21" t="s">
        <v>56</v>
      </c>
      <c r="C308" s="21" t="s">
        <v>174</v>
      </c>
      <c r="D308" s="21">
        <v>1</v>
      </c>
      <c r="E308" s="23">
        <v>30</v>
      </c>
      <c r="F308" s="23">
        <v>30</v>
      </c>
      <c r="G308" s="23">
        <v>12</v>
      </c>
      <c r="H308" s="23">
        <v>12</v>
      </c>
      <c r="I308" s="24" t="s">
        <v>946</v>
      </c>
      <c r="J308" s="27" t="s">
        <v>966</v>
      </c>
      <c r="K308" s="23">
        <v>3</v>
      </c>
      <c r="L308" s="23" t="s">
        <v>967</v>
      </c>
      <c r="M308" s="40" t="str">
        <f>IF(ISNUMBER(Log[[#This Row],[Day]]),TEXT(Log[[#This Row],[Day]],"0"),Log[[#This Row],[Day]])</f>
        <v>1</v>
      </c>
      <c r="N308" s="40" t="str">
        <f>_xlfn.XLOOKUP(Log[[#This Row],[Exercise]],Exercises[Exercise],Exercises[Category],"Ukendt",0)</f>
        <v>Compound</v>
      </c>
      <c r="O308" s="40" t="str">
        <f>_xlfn.XLOOKUP(Log[[#This Row],[Exercise]],Table5[Exercise],Table5[Primary],"Ukendt",0)</f>
        <v>Ukendt</v>
      </c>
    </row>
    <row r="309" spans="1:15">
      <c r="A309" s="19" t="s">
        <v>968</v>
      </c>
      <c r="B309" s="21" t="s">
        <v>30</v>
      </c>
      <c r="C309" s="21" t="s">
        <v>75</v>
      </c>
      <c r="D309" s="21">
        <v>1</v>
      </c>
      <c r="E309" s="23">
        <v>45</v>
      </c>
      <c r="F309" s="23">
        <v>45</v>
      </c>
      <c r="G309" s="23">
        <v>10</v>
      </c>
      <c r="H309" s="23">
        <v>8</v>
      </c>
      <c r="I309" s="24" t="s">
        <v>946</v>
      </c>
      <c r="J309" s="27" t="s">
        <v>969</v>
      </c>
      <c r="K309" s="23">
        <v>3</v>
      </c>
      <c r="L309" s="23" t="s">
        <v>970</v>
      </c>
      <c r="M309" s="40" t="str">
        <f>IF(ISNUMBER(Log[[#This Row],[Day]]),TEXT(Log[[#This Row],[Day]],"0"),Log[[#This Row],[Day]])</f>
        <v>1</v>
      </c>
      <c r="N309" s="40" t="str">
        <f>_xlfn.XLOOKUP(Log[[#This Row],[Exercise]],Exercises[Exercise],Exercises[Category],"Ukendt",0)</f>
        <v>Compound</v>
      </c>
      <c r="O309" s="40" t="str">
        <f>_xlfn.XLOOKUP(Log[[#This Row],[Exercise]],Table5[Exercise],Table5[Primary],"Ukendt",0)</f>
        <v>Bryst</v>
      </c>
    </row>
    <row r="310" spans="1:15">
      <c r="A310" s="19" t="s">
        <v>968</v>
      </c>
      <c r="B310" s="21" t="s">
        <v>30</v>
      </c>
      <c r="C310" s="21" t="s">
        <v>35</v>
      </c>
      <c r="D310" s="21">
        <v>1</v>
      </c>
      <c r="E310" s="23">
        <v>0</v>
      </c>
      <c r="F310" s="23">
        <v>0</v>
      </c>
      <c r="G310" s="23">
        <v>12</v>
      </c>
      <c r="H310" s="23">
        <v>12</v>
      </c>
      <c r="I310" s="24" t="s">
        <v>946</v>
      </c>
      <c r="J310" s="27" t="s">
        <v>971</v>
      </c>
      <c r="K310" s="23">
        <v>3</v>
      </c>
      <c r="L310" s="23" t="s">
        <v>972</v>
      </c>
      <c r="M310" s="40" t="str">
        <f>IF(ISNUMBER(Log[[#This Row],[Day]]),TEXT(Log[[#This Row],[Day]],"0"),Log[[#This Row],[Day]])</f>
        <v>1</v>
      </c>
      <c r="N310" s="40" t="str">
        <f>_xlfn.XLOOKUP(Log[[#This Row],[Exercise]],Exercises[Exercise],Exercises[Category],"Ukendt",0)</f>
        <v>Compound</v>
      </c>
      <c r="O310" s="40" t="str">
        <f>_xlfn.XLOOKUP(Log[[#This Row],[Exercise]],Table5[Exercise],Table5[Primary],"Ukendt",0)</f>
        <v>Triceps</v>
      </c>
    </row>
    <row r="311" spans="1:15">
      <c r="A311" s="19" t="s">
        <v>973</v>
      </c>
      <c r="B311" s="21" t="s">
        <v>30</v>
      </c>
      <c r="C311" s="21" t="s">
        <v>201</v>
      </c>
      <c r="D311" s="21">
        <v>1</v>
      </c>
      <c r="E311" s="23">
        <v>60</v>
      </c>
      <c r="F311" s="23">
        <v>60</v>
      </c>
      <c r="G311" s="23">
        <v>12</v>
      </c>
      <c r="H311" s="23">
        <v>12</v>
      </c>
      <c r="I311" s="24" t="s">
        <v>946</v>
      </c>
      <c r="J311" s="27" t="s">
        <v>974</v>
      </c>
      <c r="K311" s="23">
        <v>3</v>
      </c>
      <c r="L311" s="23" t="s">
        <v>975</v>
      </c>
      <c r="M311" s="40" t="str">
        <f>IF(ISNUMBER(Log[[#This Row],[Day]]),TEXT(Log[[#This Row],[Day]],"0"),Log[[#This Row],[Day]])</f>
        <v>1</v>
      </c>
      <c r="N311" s="40" t="str">
        <f>_xlfn.XLOOKUP(Log[[#This Row],[Exercise]],Exercises[Exercise],Exercises[Category],"Ukendt",0)</f>
        <v>Isolation</v>
      </c>
      <c r="O311" s="40" t="str">
        <f>_xlfn.XLOOKUP(Log[[#This Row],[Exercise]],Table5[Exercise],Table5[Primary],"Ukendt",0)</f>
        <v>Ukendt</v>
      </c>
    </row>
    <row r="312" spans="1:15">
      <c r="A312" s="19" t="s">
        <v>976</v>
      </c>
      <c r="B312" s="21" t="s">
        <v>21</v>
      </c>
      <c r="C312" s="21" t="s">
        <v>157</v>
      </c>
      <c r="D312" s="21" t="s">
        <v>156</v>
      </c>
      <c r="E312" s="23"/>
      <c r="F312" s="23">
        <v>884</v>
      </c>
      <c r="G312" s="23">
        <v>4</v>
      </c>
      <c r="H312" s="23">
        <v>4</v>
      </c>
      <c r="I312" s="24" t="s">
        <v>60</v>
      </c>
      <c r="J312" s="27" t="s">
        <v>977</v>
      </c>
      <c r="K312" s="23">
        <v>1</v>
      </c>
      <c r="L312" s="23" t="s">
        <v>978</v>
      </c>
      <c r="M312" s="40" t="str">
        <f>IF(ISNUMBER(Log[[#This Row],[Day]]),TEXT(Log[[#This Row],[Day]],"0"),Log[[#This Row],[Day]])</f>
        <v>O</v>
      </c>
      <c r="N312" s="40" t="str">
        <f>_xlfn.XLOOKUP(Log[[#This Row],[Exercise]],Exercises[Exercise],Exercises[Category],"Ukendt",0)</f>
        <v>Compound</v>
      </c>
      <c r="O312" s="40" t="str">
        <f>_xlfn.XLOOKUP(Log[[#This Row],[Exercise]],Table5[Exercise],Table5[Primary],"Ukendt",0)</f>
        <v>Ukendt</v>
      </c>
    </row>
    <row r="313" spans="1:15">
      <c r="A313" s="19" t="s">
        <v>979</v>
      </c>
      <c r="B313" s="21" t="s">
        <v>56</v>
      </c>
      <c r="C313" s="21" t="s">
        <v>190</v>
      </c>
      <c r="D313" s="21">
        <v>2</v>
      </c>
      <c r="E313" s="23">
        <v>55</v>
      </c>
      <c r="F313" s="23">
        <v>55</v>
      </c>
      <c r="G313" s="23">
        <v>12</v>
      </c>
      <c r="H313" s="23">
        <v>12</v>
      </c>
      <c r="I313" s="24" t="s">
        <v>60</v>
      </c>
      <c r="J313" s="27" t="s">
        <v>980</v>
      </c>
      <c r="K313" s="23">
        <v>3</v>
      </c>
      <c r="L313" s="23" t="s">
        <v>981</v>
      </c>
      <c r="M313" s="40" t="str">
        <f>IF(ISNUMBER(Log[[#This Row],[Day]]),TEXT(Log[[#This Row],[Day]],"0"),Log[[#This Row],[Day]])</f>
        <v>2</v>
      </c>
      <c r="N313" s="40" t="str">
        <f>_xlfn.XLOOKUP(Log[[#This Row],[Exercise]],Exercises[Exercise],Exercises[Category],"Ukendt",0)</f>
        <v>Isolation</v>
      </c>
      <c r="O313" s="40" t="str">
        <f>_xlfn.XLOOKUP(Log[[#This Row],[Exercise]],Table5[Exercise],Table5[Primary],"Ukendt",0)</f>
        <v>Ukendt</v>
      </c>
    </row>
    <row r="314" spans="1:15">
      <c r="A314" s="19" t="s">
        <v>982</v>
      </c>
      <c r="B314" s="21" t="s">
        <v>46</v>
      </c>
      <c r="C314" s="21" t="s">
        <v>181</v>
      </c>
      <c r="D314" s="21">
        <v>2</v>
      </c>
      <c r="E314" s="23">
        <v>70</v>
      </c>
      <c r="F314" s="23">
        <v>60</v>
      </c>
      <c r="G314" s="23">
        <v>12</v>
      </c>
      <c r="H314" s="23">
        <v>12</v>
      </c>
      <c r="I314" s="24" t="s">
        <v>60</v>
      </c>
      <c r="J314" s="27" t="s">
        <v>983</v>
      </c>
      <c r="K314" s="23">
        <v>3</v>
      </c>
      <c r="L314" s="23" t="s">
        <v>984</v>
      </c>
      <c r="M314" s="40" t="str">
        <f>IF(ISNUMBER(Log[[#This Row],[Day]]),TEXT(Log[[#This Row],[Day]],"0"),Log[[#This Row],[Day]])</f>
        <v>2</v>
      </c>
      <c r="N314" s="40" t="str">
        <f>_xlfn.XLOOKUP(Log[[#This Row],[Exercise]],Exercises[Exercise],Exercises[Category],"Ukendt",0)</f>
        <v>Compound</v>
      </c>
      <c r="O314" s="40" t="str">
        <f>_xlfn.XLOOKUP(Log[[#This Row],[Exercise]],Table5[Exercise],Table5[Primary],"Ukendt",0)</f>
        <v>Ukendt</v>
      </c>
    </row>
    <row r="315" spans="1:15">
      <c r="A315" s="19" t="s">
        <v>985</v>
      </c>
      <c r="B315" s="21" t="s">
        <v>56</v>
      </c>
      <c r="C315" s="21" t="s">
        <v>59</v>
      </c>
      <c r="D315" s="21">
        <v>2</v>
      </c>
      <c r="E315" s="23">
        <v>35</v>
      </c>
      <c r="F315" s="23">
        <v>35</v>
      </c>
      <c r="G315" s="23">
        <v>12</v>
      </c>
      <c r="H315" s="23">
        <v>12</v>
      </c>
      <c r="I315" s="24" t="s">
        <v>60</v>
      </c>
      <c r="J315" s="27" t="s">
        <v>986</v>
      </c>
      <c r="K315" s="23">
        <v>3</v>
      </c>
      <c r="L315" s="23" t="s">
        <v>987</v>
      </c>
      <c r="M315" s="40" t="str">
        <f>IF(ISNUMBER(Log[[#This Row],[Day]]),TEXT(Log[[#This Row],[Day]],"0"),Log[[#This Row],[Day]])</f>
        <v>2</v>
      </c>
      <c r="N315" s="40" t="str">
        <f>_xlfn.XLOOKUP(Log[[#This Row],[Exercise]],Exercises[Exercise],Exercises[Category],"Ukendt",0)</f>
        <v>Stabilization</v>
      </c>
      <c r="O315" s="40" t="str">
        <f>_xlfn.XLOOKUP(Log[[#This Row],[Exercise]],Table5[Exercise],Table5[Primary],"Ukendt",0)</f>
        <v>Rotatormanchet</v>
      </c>
    </row>
    <row r="316" spans="1:15">
      <c r="A316" s="19" t="s">
        <v>985</v>
      </c>
      <c r="B316" s="21" t="s">
        <v>56</v>
      </c>
      <c r="C316" s="21" t="s">
        <v>131</v>
      </c>
      <c r="D316" s="21">
        <v>2</v>
      </c>
      <c r="E316" s="23">
        <v>85</v>
      </c>
      <c r="F316" s="23">
        <v>85</v>
      </c>
      <c r="G316" s="23">
        <v>12</v>
      </c>
      <c r="H316" s="23">
        <v>12</v>
      </c>
      <c r="I316" s="24" t="s">
        <v>60</v>
      </c>
      <c r="J316" s="27" t="s">
        <v>988</v>
      </c>
      <c r="K316" s="23">
        <v>3</v>
      </c>
      <c r="L316" s="23" t="s">
        <v>989</v>
      </c>
      <c r="M316" s="40" t="str">
        <f>IF(ISNUMBER(Log[[#This Row],[Day]]),TEXT(Log[[#This Row],[Day]],"0"),Log[[#This Row],[Day]])</f>
        <v>2</v>
      </c>
      <c r="N316" s="40" t="str">
        <f>_xlfn.XLOOKUP(Log[[#This Row],[Exercise]],Exercises[Exercise],Exercises[Category],"Ukendt",0)</f>
        <v>Isolation</v>
      </c>
      <c r="O316" s="40" t="str">
        <f>_xlfn.XLOOKUP(Log[[#This Row],[Exercise]],Table5[Exercise],Table5[Primary],"Ukendt",0)</f>
        <v>Ukendt</v>
      </c>
    </row>
    <row r="317" spans="1:15">
      <c r="A317" s="19" t="s">
        <v>990</v>
      </c>
      <c r="B317" s="21" t="s">
        <v>56</v>
      </c>
      <c r="C317" s="21" t="s">
        <v>71</v>
      </c>
      <c r="D317" s="21">
        <v>2</v>
      </c>
      <c r="E317" s="23">
        <v>60</v>
      </c>
      <c r="F317" s="23">
        <v>60</v>
      </c>
      <c r="G317" s="23">
        <v>10</v>
      </c>
      <c r="H317" s="23">
        <v>11</v>
      </c>
      <c r="I317" s="24" t="s">
        <v>60</v>
      </c>
      <c r="J317" s="27" t="s">
        <v>991</v>
      </c>
      <c r="K317" s="23">
        <v>3</v>
      </c>
      <c r="L317" s="23" t="s">
        <v>992</v>
      </c>
      <c r="M317" s="40" t="str">
        <f>IF(ISNUMBER(Log[[#This Row],[Day]]),TEXT(Log[[#This Row],[Day]],"0"),Log[[#This Row],[Day]])</f>
        <v>2</v>
      </c>
      <c r="N317" s="40" t="str">
        <f>_xlfn.XLOOKUP(Log[[#This Row],[Exercise]],Exercises[Exercise],Exercises[Category],"Ukendt",0)</f>
        <v>Isolation</v>
      </c>
      <c r="O317" s="40" t="str">
        <f>_xlfn.XLOOKUP(Log[[#This Row],[Exercise]],Table5[Exercise],Table5[Primary],"Ukendt",0)</f>
        <v>Biceps</v>
      </c>
    </row>
    <row r="318" spans="1:15">
      <c r="A318" s="19" t="s">
        <v>993</v>
      </c>
      <c r="B318" s="21" t="s">
        <v>21</v>
      </c>
      <c r="C318" s="21" t="s">
        <v>97</v>
      </c>
      <c r="D318" s="21">
        <v>2</v>
      </c>
      <c r="E318" s="23">
        <v>0</v>
      </c>
      <c r="F318" s="23">
        <v>0</v>
      </c>
      <c r="G318" s="23">
        <v>16</v>
      </c>
      <c r="H318" s="23">
        <v>16</v>
      </c>
      <c r="I318" s="24" t="s">
        <v>60</v>
      </c>
      <c r="J318" s="27" t="s">
        <v>994</v>
      </c>
      <c r="K318" s="23">
        <v>3</v>
      </c>
      <c r="L318" s="23" t="s">
        <v>995</v>
      </c>
      <c r="M318" s="40" t="str">
        <f>IF(ISNUMBER(Log[[#This Row],[Day]]),TEXT(Log[[#This Row],[Day]],"0"),Log[[#This Row],[Day]])</f>
        <v>2</v>
      </c>
      <c r="N318" s="40" t="str">
        <f>_xlfn.XLOOKUP(Log[[#This Row],[Exercise]],Exercises[Exercise],Exercises[Category],"Ukendt",0)</f>
        <v>Core</v>
      </c>
      <c r="O318" s="40" t="str">
        <f>_xlfn.XLOOKUP(Log[[#This Row],[Exercise]],Table5[Exercise],Table5[Primary],"Ukendt",0)</f>
        <v>Mave</v>
      </c>
    </row>
    <row r="319" spans="1:15">
      <c r="A319" s="19" t="s">
        <v>996</v>
      </c>
      <c r="B319" s="21" t="s">
        <v>21</v>
      </c>
      <c r="C319" s="21" t="s">
        <v>157</v>
      </c>
      <c r="D319" s="21" t="s">
        <v>156</v>
      </c>
      <c r="E319" s="23">
        <v>884</v>
      </c>
      <c r="F319" s="23">
        <v>862</v>
      </c>
      <c r="G319" s="23">
        <v>4</v>
      </c>
      <c r="H319" s="23">
        <v>4</v>
      </c>
      <c r="I319" s="24" t="s">
        <v>997</v>
      </c>
      <c r="J319" s="27" t="s">
        <v>998</v>
      </c>
      <c r="K319" s="23">
        <v>1</v>
      </c>
      <c r="L319" s="23" t="s">
        <v>999</v>
      </c>
      <c r="M319" s="40" t="str">
        <f>IF(ISNUMBER(Log[[#This Row],[Day]]),TEXT(Log[[#This Row],[Day]],"0"),Log[[#This Row],[Day]])</f>
        <v>O</v>
      </c>
      <c r="N319" s="40" t="str">
        <f>_xlfn.XLOOKUP(Log[[#This Row],[Exercise]],Exercises[Exercise],Exercises[Category],"Ukendt",0)</f>
        <v>Compound</v>
      </c>
      <c r="O319" s="40" t="str">
        <f>_xlfn.XLOOKUP(Log[[#This Row],[Exercise]],Table5[Exercise],Table5[Primary],"Ukendt",0)</f>
        <v>Ukendt</v>
      </c>
    </row>
    <row r="320" spans="1:15">
      <c r="A320" s="19" t="s">
        <v>1000</v>
      </c>
      <c r="B320" s="21" t="s">
        <v>56</v>
      </c>
      <c r="C320" s="21" t="s">
        <v>143</v>
      </c>
      <c r="D320" s="21">
        <v>1</v>
      </c>
      <c r="E320" s="23">
        <v>0</v>
      </c>
      <c r="F320" s="23">
        <v>0</v>
      </c>
      <c r="G320" s="23">
        <v>8</v>
      </c>
      <c r="H320" s="23">
        <v>8</v>
      </c>
      <c r="I320" s="24" t="s">
        <v>997</v>
      </c>
      <c r="J320" s="27" t="s">
        <v>1001</v>
      </c>
      <c r="K320" s="23">
        <v>3</v>
      </c>
      <c r="L320" s="23" t="s">
        <v>1002</v>
      </c>
      <c r="M320" s="40" t="str">
        <f>IF(ISNUMBER(Log[[#This Row],[Day]]),TEXT(Log[[#This Row],[Day]],"0"),Log[[#This Row],[Day]])</f>
        <v>1</v>
      </c>
      <c r="N320" s="40" t="str">
        <f>_xlfn.XLOOKUP(Log[[#This Row],[Exercise]],Exercises[Exercise],Exercises[Category],"Ukendt",0)</f>
        <v>Compound</v>
      </c>
      <c r="O320" s="40" t="str">
        <f>_xlfn.XLOOKUP(Log[[#This Row],[Exercise]],Table5[Exercise],Table5[Primary],"Ukendt",0)</f>
        <v>Ukendt</v>
      </c>
    </row>
    <row r="321" spans="1:15">
      <c r="A321" s="19" t="s">
        <v>1003</v>
      </c>
      <c r="B321" s="21" t="s">
        <v>30</v>
      </c>
      <c r="C321" s="21" t="s">
        <v>41</v>
      </c>
      <c r="D321" s="21">
        <v>1</v>
      </c>
      <c r="E321" s="23">
        <v>70</v>
      </c>
      <c r="F321" s="23">
        <v>70</v>
      </c>
      <c r="G321" s="23">
        <v>6</v>
      </c>
      <c r="H321" s="23">
        <v>6</v>
      </c>
      <c r="I321" s="24" t="s">
        <v>997</v>
      </c>
      <c r="J321" s="27" t="s">
        <v>1004</v>
      </c>
      <c r="K321" s="23">
        <v>3</v>
      </c>
      <c r="L321" s="23" t="s">
        <v>1005</v>
      </c>
      <c r="M321" s="40" t="str">
        <f>IF(ISNUMBER(Log[[#This Row],[Day]]),TEXT(Log[[#This Row],[Day]],"0"),Log[[#This Row],[Day]])</f>
        <v>1</v>
      </c>
      <c r="N321" s="40" t="str">
        <f>_xlfn.XLOOKUP(Log[[#This Row],[Exercise]],Exercises[Exercise],Exercises[Category],"Ukendt",0)</f>
        <v>Compound</v>
      </c>
      <c r="O321" s="40" t="str">
        <f>_xlfn.XLOOKUP(Log[[#This Row],[Exercise]],Table5[Exercise],Table5[Primary],"Ukendt",0)</f>
        <v>Bryst</v>
      </c>
    </row>
    <row r="322" spans="1:15">
      <c r="A322" s="19" t="s">
        <v>1006</v>
      </c>
      <c r="B322" s="21" t="s">
        <v>56</v>
      </c>
      <c r="C322" s="21" t="s">
        <v>206</v>
      </c>
      <c r="D322" s="21">
        <v>1</v>
      </c>
      <c r="E322" s="23">
        <v>70</v>
      </c>
      <c r="F322" s="23">
        <v>80</v>
      </c>
      <c r="G322" s="23">
        <v>10</v>
      </c>
      <c r="H322" s="23">
        <v>3</v>
      </c>
      <c r="I322" s="24" t="s">
        <v>997</v>
      </c>
      <c r="J322" s="27" t="s">
        <v>1007</v>
      </c>
      <c r="K322" s="23">
        <v>3</v>
      </c>
      <c r="L322" s="23" t="s">
        <v>1008</v>
      </c>
      <c r="M322" s="40" t="str">
        <f>IF(ISNUMBER(Log[[#This Row],[Day]]),TEXT(Log[[#This Row],[Day]],"0"),Log[[#This Row],[Day]])</f>
        <v>1</v>
      </c>
      <c r="N322" s="40" t="str">
        <f>_xlfn.XLOOKUP(Log[[#This Row],[Exercise]],Exercises[Exercise],Exercises[Category],"Ukendt",0)</f>
        <v>Compound</v>
      </c>
      <c r="O322" s="40" t="str">
        <f>_xlfn.XLOOKUP(Log[[#This Row],[Exercise]],Table5[Exercise],Table5[Primary],"Ukendt",0)</f>
        <v>Ukendt</v>
      </c>
    </row>
    <row r="323" spans="1:15">
      <c r="A323" s="19" t="s">
        <v>1009</v>
      </c>
      <c r="B323" s="21" t="s">
        <v>56</v>
      </c>
      <c r="C323" s="21" t="s">
        <v>174</v>
      </c>
      <c r="D323" s="21">
        <v>1</v>
      </c>
      <c r="E323" s="23">
        <v>30</v>
      </c>
      <c r="F323" s="23">
        <v>35</v>
      </c>
      <c r="G323" s="23">
        <v>12</v>
      </c>
      <c r="H323" s="23">
        <v>6</v>
      </c>
      <c r="I323" s="24" t="s">
        <v>997</v>
      </c>
      <c r="J323" s="27" t="s">
        <v>1010</v>
      </c>
      <c r="K323" s="23">
        <v>3</v>
      </c>
      <c r="L323" s="23" t="s">
        <v>1011</v>
      </c>
      <c r="M323" s="40" t="str">
        <f>IF(ISNUMBER(Log[[#This Row],[Day]]),TEXT(Log[[#This Row],[Day]],"0"),Log[[#This Row],[Day]])</f>
        <v>1</v>
      </c>
      <c r="N323" s="40" t="str">
        <f>_xlfn.XLOOKUP(Log[[#This Row],[Exercise]],Exercises[Exercise],Exercises[Category],"Ukendt",0)</f>
        <v>Compound</v>
      </c>
      <c r="O323" s="40" t="str">
        <f>_xlfn.XLOOKUP(Log[[#This Row],[Exercise]],Table5[Exercise],Table5[Primary],"Ukendt",0)</f>
        <v>Ukendt</v>
      </c>
    </row>
    <row r="324" spans="1:15">
      <c r="A324" s="19" t="s">
        <v>1009</v>
      </c>
      <c r="B324" s="21" t="s">
        <v>46</v>
      </c>
      <c r="C324" s="21" t="s">
        <v>79</v>
      </c>
      <c r="D324" s="21">
        <v>1</v>
      </c>
      <c r="E324" s="23">
        <v>20</v>
      </c>
      <c r="F324" s="23">
        <v>20</v>
      </c>
      <c r="G324" s="23">
        <v>20</v>
      </c>
      <c r="H324" s="23">
        <v>20</v>
      </c>
      <c r="I324" s="24" t="s">
        <v>997</v>
      </c>
      <c r="J324" s="27" t="s">
        <v>1012</v>
      </c>
      <c r="K324" s="23">
        <v>3</v>
      </c>
      <c r="L324" s="23" t="s">
        <v>1013</v>
      </c>
      <c r="M324" s="40" t="str">
        <f>IF(ISNUMBER(Log[[#This Row],[Day]]),TEXT(Log[[#This Row],[Day]],"0"),Log[[#This Row],[Day]])</f>
        <v>1</v>
      </c>
      <c r="N324" s="40" t="str">
        <f>_xlfn.XLOOKUP(Log[[#This Row],[Exercise]],Exercises[Exercise],Exercises[Category],"Ukendt",0)</f>
        <v>Compound</v>
      </c>
      <c r="O324" s="40" t="str">
        <f>_xlfn.XLOOKUP(Log[[#This Row],[Exercise]],Table5[Exercise],Table5[Primary],"Ukendt",0)</f>
        <v>Lår</v>
      </c>
    </row>
    <row r="325" spans="1:15">
      <c r="A325" s="19" t="s">
        <v>1014</v>
      </c>
      <c r="B325" s="21" t="s">
        <v>30</v>
      </c>
      <c r="C325" s="21" t="s">
        <v>208</v>
      </c>
      <c r="D325" s="21">
        <v>1</v>
      </c>
      <c r="E325" s="23"/>
      <c r="F325" s="23"/>
      <c r="G325" s="23">
        <v>8</v>
      </c>
      <c r="H325" s="23">
        <v>8</v>
      </c>
      <c r="I325" s="24" t="s">
        <v>997</v>
      </c>
      <c r="J325" s="27" t="s">
        <v>1015</v>
      </c>
      <c r="K325" s="23">
        <v>3</v>
      </c>
      <c r="L325" s="23" t="s">
        <v>1016</v>
      </c>
      <c r="M325" s="40" t="str">
        <f>IF(ISNUMBER(Log[[#This Row],[Day]]),TEXT(Log[[#This Row],[Day]],"0"),Log[[#This Row],[Day]])</f>
        <v>1</v>
      </c>
      <c r="N325" s="40" t="str">
        <f>_xlfn.XLOOKUP(Log[[#This Row],[Exercise]],Exercises[Exercise],Exercises[Category],"Ukendt",0)</f>
        <v>Isolation</v>
      </c>
      <c r="O325" s="40" t="str">
        <f>_xlfn.XLOOKUP(Log[[#This Row],[Exercise]],Table5[Exercise],Table5[Primary],"Ukendt",0)</f>
        <v>Ukendt</v>
      </c>
    </row>
    <row r="326" spans="1:15">
      <c r="A326" s="19" t="s">
        <v>1017</v>
      </c>
      <c r="B326" s="21" t="s">
        <v>56</v>
      </c>
      <c r="C326" s="21" t="s">
        <v>153</v>
      </c>
      <c r="D326" s="21">
        <v>1</v>
      </c>
      <c r="E326" s="23">
        <v>75</v>
      </c>
      <c r="F326" s="23">
        <v>75</v>
      </c>
      <c r="G326" s="23">
        <v>10</v>
      </c>
      <c r="H326" s="23">
        <v>10</v>
      </c>
      <c r="I326" s="24" t="s">
        <v>997</v>
      </c>
      <c r="J326" s="27" t="s">
        <v>1018</v>
      </c>
      <c r="K326" s="23">
        <v>3</v>
      </c>
      <c r="L326" s="23" t="s">
        <v>1019</v>
      </c>
      <c r="M326" s="40" t="str">
        <f>IF(ISNUMBER(Log[[#This Row],[Day]]),TEXT(Log[[#This Row],[Day]],"0"),Log[[#This Row],[Day]])</f>
        <v>1</v>
      </c>
      <c r="N326" s="40" t="str">
        <f>_xlfn.XLOOKUP(Log[[#This Row],[Exercise]],Exercises[Exercise],Exercises[Category],"Ukendt",0)</f>
        <v>Stabilization</v>
      </c>
      <c r="O326" s="40" t="str">
        <f>_xlfn.XLOOKUP(Log[[#This Row],[Exercise]],Table5[Exercise],Table5[Primary],"Ukendt",0)</f>
        <v>Ukendt</v>
      </c>
    </row>
    <row r="327" spans="1:15">
      <c r="A327" s="19" t="s">
        <v>1020</v>
      </c>
      <c r="B327" s="21" t="s">
        <v>30</v>
      </c>
      <c r="C327" s="21" t="s">
        <v>196</v>
      </c>
      <c r="D327" s="21">
        <v>1</v>
      </c>
      <c r="E327" s="23">
        <v>60</v>
      </c>
      <c r="F327" s="23">
        <v>85</v>
      </c>
      <c r="G327" s="23">
        <v>12</v>
      </c>
      <c r="H327" s="23">
        <v>12</v>
      </c>
      <c r="I327" s="24" t="s">
        <v>997</v>
      </c>
      <c r="J327" s="27" t="s">
        <v>1021</v>
      </c>
      <c r="K327" s="23">
        <v>3</v>
      </c>
      <c r="L327" s="23" t="s">
        <v>1022</v>
      </c>
      <c r="M327" s="40" t="str">
        <f>IF(ISNUMBER(Log[[#This Row],[Day]]),TEXT(Log[[#This Row],[Day]],"0"),Log[[#This Row],[Day]])</f>
        <v>1</v>
      </c>
      <c r="N327" s="40" t="str">
        <f>_xlfn.XLOOKUP(Log[[#This Row],[Exercise]],Exercises[Exercise],Exercises[Category],"Ukendt",0)</f>
        <v>Compound</v>
      </c>
      <c r="O327" s="40" t="str">
        <f>_xlfn.XLOOKUP(Log[[#This Row],[Exercise]],Table5[Exercise],Table5[Primary],"Ukendt",0)</f>
        <v>Ukendt</v>
      </c>
    </row>
    <row r="328" spans="1:15">
      <c r="A328" s="19" t="s">
        <v>1023</v>
      </c>
      <c r="B328" s="21" t="s">
        <v>21</v>
      </c>
      <c r="C328" s="21" t="s">
        <v>157</v>
      </c>
      <c r="D328" s="21" t="s">
        <v>156</v>
      </c>
      <c r="E328" s="23">
        <v>862</v>
      </c>
      <c r="F328" s="23">
        <v>872</v>
      </c>
      <c r="G328" s="23">
        <v>4</v>
      </c>
      <c r="H328" s="23">
        <v>4</v>
      </c>
      <c r="I328" s="24" t="s">
        <v>1024</v>
      </c>
      <c r="J328" s="27" t="s">
        <v>1025</v>
      </c>
      <c r="K328" s="23">
        <v>1</v>
      </c>
      <c r="L328" s="23" t="s">
        <v>1026</v>
      </c>
      <c r="M328" s="40" t="str">
        <f>IF(ISNUMBER(Log[[#This Row],[Day]]),TEXT(Log[[#This Row],[Day]],"0"),Log[[#This Row],[Day]])</f>
        <v>O</v>
      </c>
      <c r="N328" s="40" t="str">
        <f>_xlfn.XLOOKUP(Log[[#This Row],[Exercise]],Exercises[Exercise],Exercises[Category],"Ukendt",0)</f>
        <v>Compound</v>
      </c>
      <c r="O328" s="40" t="str">
        <f>_xlfn.XLOOKUP(Log[[#This Row],[Exercise]],Table5[Exercise],Table5[Primary],"Ukendt",0)</f>
        <v>Ukendt</v>
      </c>
    </row>
    <row r="329" spans="1:15">
      <c r="A329" s="19" t="s">
        <v>1027</v>
      </c>
      <c r="B329" s="21" t="s">
        <v>56</v>
      </c>
      <c r="C329" s="21" t="s">
        <v>190</v>
      </c>
      <c r="D329" s="21">
        <v>2</v>
      </c>
      <c r="E329" s="23">
        <v>55</v>
      </c>
      <c r="F329" s="23">
        <v>60</v>
      </c>
      <c r="G329" s="23">
        <v>12</v>
      </c>
      <c r="H329" s="23">
        <v>12</v>
      </c>
      <c r="I329" s="24" t="s">
        <v>1024</v>
      </c>
      <c r="J329" s="27" t="s">
        <v>1028</v>
      </c>
      <c r="K329" s="23">
        <v>3</v>
      </c>
      <c r="L329" s="23" t="s">
        <v>1029</v>
      </c>
      <c r="M329" s="40" t="str">
        <f>IF(ISNUMBER(Log[[#This Row],[Day]]),TEXT(Log[[#This Row],[Day]],"0"),Log[[#This Row],[Day]])</f>
        <v>2</v>
      </c>
      <c r="N329" s="40" t="str">
        <f>_xlfn.XLOOKUP(Log[[#This Row],[Exercise]],Exercises[Exercise],Exercises[Category],"Ukendt",0)</f>
        <v>Isolation</v>
      </c>
      <c r="O329" s="40" t="str">
        <f>_xlfn.XLOOKUP(Log[[#This Row],[Exercise]],Table5[Exercise],Table5[Primary],"Ukendt",0)</f>
        <v>Ukendt</v>
      </c>
    </row>
    <row r="330" spans="1:15">
      <c r="A330" s="19" t="s">
        <v>1027</v>
      </c>
      <c r="B330" s="21" t="s">
        <v>30</v>
      </c>
      <c r="C330" s="21" t="s">
        <v>201</v>
      </c>
      <c r="D330" s="21">
        <v>1</v>
      </c>
      <c r="E330" s="23">
        <v>60</v>
      </c>
      <c r="F330" s="23">
        <v>60</v>
      </c>
      <c r="G330" s="23">
        <v>12</v>
      </c>
      <c r="H330" s="23">
        <v>12</v>
      </c>
      <c r="I330" s="24" t="s">
        <v>1024</v>
      </c>
      <c r="J330" s="27" t="s">
        <v>1030</v>
      </c>
      <c r="K330" s="23">
        <v>3</v>
      </c>
      <c r="L330" s="23" t="s">
        <v>1031</v>
      </c>
      <c r="M330" s="40" t="str">
        <f>IF(ISNUMBER(Log[[#This Row],[Day]]),TEXT(Log[[#This Row],[Day]],"0"),Log[[#This Row],[Day]])</f>
        <v>1</v>
      </c>
      <c r="N330" s="40" t="str">
        <f>_xlfn.XLOOKUP(Log[[#This Row],[Exercise]],Exercises[Exercise],Exercises[Category],"Ukendt",0)</f>
        <v>Isolation</v>
      </c>
      <c r="O330" s="40" t="str">
        <f>_xlfn.XLOOKUP(Log[[#This Row],[Exercise]],Table5[Exercise],Table5[Primary],"Ukendt",0)</f>
        <v>Ukendt</v>
      </c>
    </row>
    <row r="331" spans="1:15">
      <c r="A331" s="19" t="s">
        <v>1032</v>
      </c>
      <c r="B331" s="21" t="s">
        <v>21</v>
      </c>
      <c r="C331" s="21" t="s">
        <v>97</v>
      </c>
      <c r="D331" s="21">
        <v>2</v>
      </c>
      <c r="E331" s="23">
        <v>0</v>
      </c>
      <c r="F331" s="23">
        <v>0</v>
      </c>
      <c r="G331" s="23">
        <v>16</v>
      </c>
      <c r="H331" s="23">
        <v>16</v>
      </c>
      <c r="I331" s="24" t="s">
        <v>1024</v>
      </c>
      <c r="J331" s="27" t="s">
        <v>1033</v>
      </c>
      <c r="K331" s="23">
        <v>3</v>
      </c>
      <c r="L331" s="23" t="s">
        <v>1034</v>
      </c>
      <c r="M331" s="40" t="str">
        <f>IF(ISNUMBER(Log[[#This Row],[Day]]),TEXT(Log[[#This Row],[Day]],"0"),Log[[#This Row],[Day]])</f>
        <v>2</v>
      </c>
      <c r="N331" s="40" t="str">
        <f>_xlfn.XLOOKUP(Log[[#This Row],[Exercise]],Exercises[Exercise],Exercises[Category],"Ukendt",0)</f>
        <v>Core</v>
      </c>
      <c r="O331" s="40" t="str">
        <f>_xlfn.XLOOKUP(Log[[#This Row],[Exercise]],Table5[Exercise],Table5[Primary],"Ukendt",0)</f>
        <v>Mave</v>
      </c>
    </row>
    <row r="332" spans="1:15">
      <c r="A332" s="19" t="s">
        <v>1035</v>
      </c>
      <c r="B332" s="21" t="s">
        <v>46</v>
      </c>
      <c r="C332" s="21" t="s">
        <v>177</v>
      </c>
      <c r="D332" s="21">
        <v>1</v>
      </c>
      <c r="E332" s="23">
        <v>30</v>
      </c>
      <c r="F332" s="23">
        <v>30</v>
      </c>
      <c r="G332" s="23">
        <v>10</v>
      </c>
      <c r="H332" s="23">
        <v>8</v>
      </c>
      <c r="I332" s="24" t="s">
        <v>1024</v>
      </c>
      <c r="J332" s="27" t="s">
        <v>1036</v>
      </c>
      <c r="K332" s="23">
        <v>3</v>
      </c>
      <c r="L332" s="23" t="s">
        <v>1037</v>
      </c>
      <c r="M332" s="40" t="str">
        <f>IF(ISNUMBER(Log[[#This Row],[Day]]),TEXT(Log[[#This Row],[Day]],"0"),Log[[#This Row],[Day]])</f>
        <v>1</v>
      </c>
      <c r="N332" s="40" t="str">
        <f>_xlfn.XLOOKUP(Log[[#This Row],[Exercise]],Exercises[Exercise],Exercises[Category],"Ukendt",0)</f>
        <v>Compound</v>
      </c>
      <c r="O332" s="40" t="str">
        <f>_xlfn.XLOOKUP(Log[[#This Row],[Exercise]],Table5[Exercise],Table5[Primary],"Ukendt",0)</f>
        <v>Ukendt</v>
      </c>
    </row>
    <row r="333" spans="1:15">
      <c r="A333" s="19" t="s">
        <v>1038</v>
      </c>
      <c r="B333" s="21" t="s">
        <v>56</v>
      </c>
      <c r="C333" s="21" t="s">
        <v>131</v>
      </c>
      <c r="D333" s="21">
        <v>2</v>
      </c>
      <c r="E333" s="23">
        <v>85</v>
      </c>
      <c r="F333" s="23">
        <v>85</v>
      </c>
      <c r="G333" s="23">
        <v>12</v>
      </c>
      <c r="H333" s="23">
        <v>12</v>
      </c>
      <c r="I333" s="24" t="s">
        <v>1024</v>
      </c>
      <c r="J333" s="27" t="s">
        <v>1039</v>
      </c>
      <c r="K333" s="23">
        <v>3</v>
      </c>
      <c r="L333" s="23" t="s">
        <v>1040</v>
      </c>
      <c r="M333" s="40" t="str">
        <f>IF(ISNUMBER(Log[[#This Row],[Day]]),TEXT(Log[[#This Row],[Day]],"0"),Log[[#This Row],[Day]])</f>
        <v>2</v>
      </c>
      <c r="N333" s="40" t="str">
        <f>_xlfn.XLOOKUP(Log[[#This Row],[Exercise]],Exercises[Exercise],Exercises[Category],"Ukendt",0)</f>
        <v>Isolation</v>
      </c>
      <c r="O333" s="40" t="str">
        <f>_xlfn.XLOOKUP(Log[[#This Row],[Exercise]],Table5[Exercise],Table5[Primary],"Ukendt",0)</f>
        <v>Ukendt</v>
      </c>
    </row>
    <row r="334" spans="1:15">
      <c r="A334" s="19" t="s">
        <v>1041</v>
      </c>
      <c r="B334" s="21" t="s">
        <v>46</v>
      </c>
      <c r="C334" s="21" t="s">
        <v>115</v>
      </c>
      <c r="D334" s="21">
        <v>2</v>
      </c>
      <c r="E334" s="23">
        <v>145</v>
      </c>
      <c r="F334" s="23">
        <v>145</v>
      </c>
      <c r="G334" s="23">
        <v>12</v>
      </c>
      <c r="H334" s="23">
        <v>12</v>
      </c>
      <c r="I334" s="24" t="s">
        <v>1024</v>
      </c>
      <c r="J334" s="27" t="s">
        <v>1042</v>
      </c>
      <c r="K334" s="23">
        <v>3</v>
      </c>
      <c r="L334" s="23" t="s">
        <v>1043</v>
      </c>
      <c r="M334" s="40" t="str">
        <f>IF(ISNUMBER(Log[[#This Row],[Day]]),TEXT(Log[[#This Row],[Day]],"0"),Log[[#This Row],[Day]])</f>
        <v>2</v>
      </c>
      <c r="N334" s="40" t="str">
        <f>_xlfn.XLOOKUP(Log[[#This Row],[Exercise]],Exercises[Exercise],Exercises[Category],"Ukendt",0)</f>
        <v>Isolation</v>
      </c>
      <c r="O334" s="40" t="str">
        <f>_xlfn.XLOOKUP(Log[[#This Row],[Exercise]],Table5[Exercise],Table5[Primary],"Ukendt",0)</f>
        <v>Lår</v>
      </c>
    </row>
    <row r="335" spans="1:15">
      <c r="A335" s="19" t="s">
        <v>1044</v>
      </c>
      <c r="B335" s="21" t="s">
        <v>56</v>
      </c>
      <c r="C335" s="21" t="s">
        <v>92</v>
      </c>
      <c r="D335" s="21" t="s">
        <v>31</v>
      </c>
      <c r="E335" s="23" t="s">
        <v>93</v>
      </c>
      <c r="F335" s="23" t="s">
        <v>93</v>
      </c>
      <c r="G335" s="23">
        <v>15</v>
      </c>
      <c r="H335" s="23">
        <v>20</v>
      </c>
      <c r="I335" s="24" t="s">
        <v>1024</v>
      </c>
      <c r="J335" s="27" t="s">
        <v>1045</v>
      </c>
      <c r="K335" s="23">
        <v>3</v>
      </c>
      <c r="L335" s="23" t="s">
        <v>1046</v>
      </c>
      <c r="M335" s="40" t="str">
        <f>IF(ISNUMBER(Log[[#This Row],[Day]]),TEXT(Log[[#This Row],[Day]],"0"),Log[[#This Row],[Day]])</f>
        <v>H</v>
      </c>
      <c r="N335" s="40" t="str">
        <f>_xlfn.XLOOKUP(Log[[#This Row],[Exercise]],Exercises[Exercise],Exercises[Category],"Ukendt",0)</f>
        <v>Isolation</v>
      </c>
      <c r="O335" s="40" t="str">
        <f>_xlfn.XLOOKUP(Log[[#This Row],[Exercise]],Table5[Exercise],Table5[Primary],"Ukendt",0)</f>
        <v>Biceps</v>
      </c>
    </row>
    <row r="336" spans="1:15">
      <c r="A336" s="19" t="s">
        <v>1047</v>
      </c>
      <c r="B336" s="21"/>
      <c r="C336" s="21"/>
      <c r="D336" s="21"/>
      <c r="E336" s="23"/>
      <c r="F336" s="23"/>
      <c r="G336" s="23"/>
      <c r="H336" s="23"/>
      <c r="I336" s="24" t="s">
        <v>197</v>
      </c>
      <c r="J336" s="27" t="s">
        <v>1048</v>
      </c>
      <c r="K336" s="23"/>
      <c r="L336" s="23" t="s">
        <v>1049</v>
      </c>
      <c r="M336" s="40">
        <f>IF(ISNUMBER(Log[[#This Row],[Day]]),TEXT(Log[[#This Row],[Day]],"0"),Log[[#This Row],[Day]])</f>
        <v>0</v>
      </c>
      <c r="N336" s="40" t="str">
        <f>_xlfn.XLOOKUP(Log[[#This Row],[Exercise]],Exercises[Exercise],Exercises[Category],"Ukendt",0)</f>
        <v>Ukendt</v>
      </c>
      <c r="O336" s="40" t="str">
        <f>_xlfn.XLOOKUP(Log[[#This Row],[Exercise]],Table5[Exercise],Table5[Primary],"Ukendt",0)</f>
        <v>Ukendt</v>
      </c>
    </row>
    <row r="337" spans="1:15">
      <c r="A337" s="19" t="s">
        <v>1050</v>
      </c>
      <c r="B337" s="21" t="s">
        <v>56</v>
      </c>
      <c r="C337" s="21" t="s">
        <v>143</v>
      </c>
      <c r="D337" s="21">
        <v>1</v>
      </c>
      <c r="E337" s="23">
        <v>0</v>
      </c>
      <c r="F337" s="23">
        <v>0</v>
      </c>
      <c r="G337" s="23">
        <v>8</v>
      </c>
      <c r="H337" s="23">
        <v>8</v>
      </c>
      <c r="I337" s="24" t="s">
        <v>197</v>
      </c>
      <c r="J337" s="27" t="s">
        <v>1051</v>
      </c>
      <c r="K337" s="23">
        <v>3</v>
      </c>
      <c r="L337" s="23" t="s">
        <v>1052</v>
      </c>
      <c r="M337" s="40" t="str">
        <f>IF(ISNUMBER(Log[[#This Row],[Day]]),TEXT(Log[[#This Row],[Day]],"0"),Log[[#This Row],[Day]])</f>
        <v>1</v>
      </c>
      <c r="N337" s="40" t="str">
        <f>_xlfn.XLOOKUP(Log[[#This Row],[Exercise]],Exercises[Exercise],Exercises[Category],"Ukendt",0)</f>
        <v>Compound</v>
      </c>
      <c r="O337" s="40" t="str">
        <f>_xlfn.XLOOKUP(Log[[#This Row],[Exercise]],Table5[Exercise],Table5[Primary],"Ukendt",0)</f>
        <v>Ukendt</v>
      </c>
    </row>
    <row r="338" spans="1:15">
      <c r="A338" s="19" t="s">
        <v>1053</v>
      </c>
      <c r="B338" s="21" t="s">
        <v>46</v>
      </c>
      <c r="C338" s="21" t="s">
        <v>79</v>
      </c>
      <c r="D338" s="21">
        <v>1</v>
      </c>
      <c r="E338" s="23">
        <v>20</v>
      </c>
      <c r="F338" s="23">
        <v>20</v>
      </c>
      <c r="G338" s="23">
        <v>20</v>
      </c>
      <c r="H338" s="23">
        <v>20</v>
      </c>
      <c r="I338" s="24" t="s">
        <v>197</v>
      </c>
      <c r="J338" s="27" t="s">
        <v>1054</v>
      </c>
      <c r="K338" s="23">
        <v>3</v>
      </c>
      <c r="L338" s="23" t="s">
        <v>1055</v>
      </c>
      <c r="M338" s="40" t="str">
        <f>IF(ISNUMBER(Log[[#This Row],[Day]]),TEXT(Log[[#This Row],[Day]],"0"),Log[[#This Row],[Day]])</f>
        <v>1</v>
      </c>
      <c r="N338" s="40" t="str">
        <f>_xlfn.XLOOKUP(Log[[#This Row],[Exercise]],Exercises[Exercise],Exercises[Category],"Ukendt",0)</f>
        <v>Compound</v>
      </c>
      <c r="O338" s="40" t="str">
        <f>_xlfn.XLOOKUP(Log[[#This Row],[Exercise]],Table5[Exercise],Table5[Primary],"Ukendt",0)</f>
        <v>Lår</v>
      </c>
    </row>
    <row r="339" spans="1:15">
      <c r="A339" s="19" t="s">
        <v>1056</v>
      </c>
      <c r="B339" s="21" t="s">
        <v>56</v>
      </c>
      <c r="C339" s="21" t="s">
        <v>153</v>
      </c>
      <c r="D339" s="21">
        <v>1</v>
      </c>
      <c r="E339" s="23">
        <v>75</v>
      </c>
      <c r="F339" s="23">
        <v>75</v>
      </c>
      <c r="G339" s="23">
        <v>10</v>
      </c>
      <c r="H339" s="23">
        <v>12</v>
      </c>
      <c r="I339" s="24" t="s">
        <v>197</v>
      </c>
      <c r="J339" s="27" t="s">
        <v>1057</v>
      </c>
      <c r="K339" s="23">
        <v>3</v>
      </c>
      <c r="L339" s="23" t="s">
        <v>1058</v>
      </c>
      <c r="M339" s="40" t="str">
        <f>IF(ISNUMBER(Log[[#This Row],[Day]]),TEXT(Log[[#This Row],[Day]],"0"),Log[[#This Row],[Day]])</f>
        <v>1</v>
      </c>
      <c r="N339" s="40" t="str">
        <f>_xlfn.XLOOKUP(Log[[#This Row],[Exercise]],Exercises[Exercise],Exercises[Category],"Ukendt",0)</f>
        <v>Stabilization</v>
      </c>
      <c r="O339" s="40" t="str">
        <f>_xlfn.XLOOKUP(Log[[#This Row],[Exercise]],Table5[Exercise],Table5[Primary],"Ukendt",0)</f>
        <v>Ukendt</v>
      </c>
    </row>
    <row r="340" spans="1:15">
      <c r="A340" s="19" t="s">
        <v>1059</v>
      </c>
      <c r="B340" s="21" t="s">
        <v>56</v>
      </c>
      <c r="C340" s="21" t="s">
        <v>174</v>
      </c>
      <c r="D340" s="21">
        <v>1</v>
      </c>
      <c r="E340" s="23">
        <v>35</v>
      </c>
      <c r="F340" s="23">
        <v>30</v>
      </c>
      <c r="G340" s="23">
        <v>6</v>
      </c>
      <c r="H340" s="23">
        <v>12</v>
      </c>
      <c r="I340" s="24" t="s">
        <v>197</v>
      </c>
      <c r="J340" s="27" t="s">
        <v>1060</v>
      </c>
      <c r="K340" s="23">
        <v>3</v>
      </c>
      <c r="L340" s="23" t="s">
        <v>1061</v>
      </c>
      <c r="M340" s="40" t="str">
        <f>IF(ISNUMBER(Log[[#This Row],[Day]]),TEXT(Log[[#This Row],[Day]],"0"),Log[[#This Row],[Day]])</f>
        <v>1</v>
      </c>
      <c r="N340" s="40" t="str">
        <f>_xlfn.XLOOKUP(Log[[#This Row],[Exercise]],Exercises[Exercise],Exercises[Category],"Ukendt",0)</f>
        <v>Compound</v>
      </c>
      <c r="O340" s="40" t="str">
        <f>_xlfn.XLOOKUP(Log[[#This Row],[Exercise]],Table5[Exercise],Table5[Primary],"Ukendt",0)</f>
        <v>Ukendt</v>
      </c>
    </row>
    <row r="341" spans="1:15">
      <c r="A341" s="19" t="s">
        <v>1062</v>
      </c>
      <c r="B341" s="21" t="s">
        <v>30</v>
      </c>
      <c r="C341" s="21" t="s">
        <v>75</v>
      </c>
      <c r="D341" s="21">
        <v>1</v>
      </c>
      <c r="E341" s="23">
        <v>45</v>
      </c>
      <c r="F341" s="23">
        <v>45</v>
      </c>
      <c r="G341" s="23">
        <v>8</v>
      </c>
      <c r="H341" s="23">
        <v>12</v>
      </c>
      <c r="I341" s="24" t="s">
        <v>197</v>
      </c>
      <c r="J341" s="27" t="s">
        <v>1063</v>
      </c>
      <c r="K341" s="23">
        <v>3</v>
      </c>
      <c r="L341" s="23" t="s">
        <v>1064</v>
      </c>
      <c r="M341" s="40" t="str">
        <f>IF(ISNUMBER(Log[[#This Row],[Day]]),TEXT(Log[[#This Row],[Day]],"0"),Log[[#This Row],[Day]])</f>
        <v>1</v>
      </c>
      <c r="N341" s="40" t="str">
        <f>_xlfn.XLOOKUP(Log[[#This Row],[Exercise]],Exercises[Exercise],Exercises[Category],"Ukendt",0)</f>
        <v>Compound</v>
      </c>
      <c r="O341" s="40" t="str">
        <f>_xlfn.XLOOKUP(Log[[#This Row],[Exercise]],Table5[Exercise],Table5[Primary],"Ukendt",0)</f>
        <v>Bryst</v>
      </c>
    </row>
    <row r="342" spans="1:15">
      <c r="A342" s="19" t="s">
        <v>1065</v>
      </c>
      <c r="B342" s="21" t="s">
        <v>30</v>
      </c>
      <c r="C342" s="21" t="s">
        <v>196</v>
      </c>
      <c r="D342" s="21">
        <v>1</v>
      </c>
      <c r="E342" s="23">
        <v>85</v>
      </c>
      <c r="F342" s="23">
        <v>85</v>
      </c>
      <c r="G342" s="23">
        <v>12</v>
      </c>
      <c r="H342" s="23">
        <v>12</v>
      </c>
      <c r="I342" s="24" t="s">
        <v>197</v>
      </c>
      <c r="J342" s="27" t="s">
        <v>1066</v>
      </c>
      <c r="K342" s="23">
        <v>3</v>
      </c>
      <c r="L342" s="23" t="s">
        <v>1067</v>
      </c>
      <c r="M342" s="40" t="str">
        <f>IF(ISNUMBER(Log[[#This Row],[Day]]),TEXT(Log[[#This Row],[Day]],"0"),Log[[#This Row],[Day]])</f>
        <v>1</v>
      </c>
      <c r="N342" s="40" t="str">
        <f>_xlfn.XLOOKUP(Log[[#This Row],[Exercise]],Exercises[Exercise],Exercises[Category],"Ukendt",0)</f>
        <v>Compound</v>
      </c>
      <c r="O342" s="40" t="str">
        <f>_xlfn.XLOOKUP(Log[[#This Row],[Exercise]],Table5[Exercise],Table5[Primary],"Ukendt",0)</f>
        <v>Ukendt</v>
      </c>
    </row>
    <row r="343" spans="1:15">
      <c r="A343" s="19" t="s">
        <v>1068</v>
      </c>
      <c r="B343" s="21" t="s">
        <v>30</v>
      </c>
      <c r="C343" s="21" t="s">
        <v>35</v>
      </c>
      <c r="D343" s="21">
        <v>1</v>
      </c>
      <c r="E343" s="23">
        <v>0</v>
      </c>
      <c r="F343" s="23">
        <v>0</v>
      </c>
      <c r="G343" s="23">
        <v>12</v>
      </c>
      <c r="H343" s="23">
        <v>12</v>
      </c>
      <c r="I343" s="24" t="s">
        <v>197</v>
      </c>
      <c r="J343" s="27" t="s">
        <v>1069</v>
      </c>
      <c r="K343" s="23">
        <v>3</v>
      </c>
      <c r="L343" s="23" t="s">
        <v>1070</v>
      </c>
      <c r="M343" s="40" t="str">
        <f>IF(ISNUMBER(Log[[#This Row],[Day]]),TEXT(Log[[#This Row],[Day]],"0"),Log[[#This Row],[Day]])</f>
        <v>1</v>
      </c>
      <c r="N343" s="40" t="str">
        <f>_xlfn.XLOOKUP(Log[[#This Row],[Exercise]],Exercises[Exercise],Exercises[Category],"Ukendt",0)</f>
        <v>Compound</v>
      </c>
      <c r="O343" s="40" t="str">
        <f>_xlfn.XLOOKUP(Log[[#This Row],[Exercise]],Table5[Exercise],Table5[Primary],"Ukendt",0)</f>
        <v>Triceps</v>
      </c>
    </row>
    <row r="344" spans="1:15">
      <c r="A344" s="19" t="s">
        <v>1071</v>
      </c>
      <c r="B344" s="21" t="s">
        <v>30</v>
      </c>
      <c r="C344" s="21" t="s">
        <v>208</v>
      </c>
      <c r="D344" s="21">
        <v>1</v>
      </c>
      <c r="E344" s="23"/>
      <c r="F344" s="23"/>
      <c r="G344" s="23">
        <v>8</v>
      </c>
      <c r="H344" s="23">
        <v>8</v>
      </c>
      <c r="I344" s="24" t="s">
        <v>197</v>
      </c>
      <c r="J344" s="27" t="s">
        <v>1072</v>
      </c>
      <c r="K344" s="23">
        <v>3</v>
      </c>
      <c r="L344" s="23" t="s">
        <v>1073</v>
      </c>
      <c r="M344" s="40" t="str">
        <f>IF(ISNUMBER(Log[[#This Row],[Day]]),TEXT(Log[[#This Row],[Day]],"0"),Log[[#This Row],[Day]])</f>
        <v>1</v>
      </c>
      <c r="N344" s="40" t="str">
        <f>_xlfn.XLOOKUP(Log[[#This Row],[Exercise]],Exercises[Exercise],Exercises[Category],"Ukendt",0)</f>
        <v>Isolation</v>
      </c>
      <c r="O344" s="40" t="str">
        <f>_xlfn.XLOOKUP(Log[[#This Row],[Exercise]],Table5[Exercise],Table5[Primary],"Ukendt",0)</f>
        <v>Ukendt</v>
      </c>
    </row>
    <row r="345" spans="1:15">
      <c r="A345" s="19" t="s">
        <v>1074</v>
      </c>
      <c r="B345" s="21" t="s">
        <v>30</v>
      </c>
      <c r="C345" s="21" t="s">
        <v>111</v>
      </c>
      <c r="D345" s="21">
        <v>1</v>
      </c>
      <c r="E345" s="23">
        <v>8</v>
      </c>
      <c r="F345" s="23">
        <v>8</v>
      </c>
      <c r="G345" s="23">
        <v>12</v>
      </c>
      <c r="H345" s="23">
        <v>12</v>
      </c>
      <c r="I345" s="24" t="s">
        <v>197</v>
      </c>
      <c r="J345" s="27" t="s">
        <v>1075</v>
      </c>
      <c r="K345" s="23">
        <v>3</v>
      </c>
      <c r="L345" s="23" t="s">
        <v>1076</v>
      </c>
      <c r="M345" s="40" t="str">
        <f>IF(ISNUMBER(Log[[#This Row],[Day]]),TEXT(Log[[#This Row],[Day]],"0"),Log[[#This Row],[Day]])</f>
        <v>1</v>
      </c>
      <c r="N345" s="40" t="str">
        <f>_xlfn.XLOOKUP(Log[[#This Row],[Exercise]],Exercises[Exercise],Exercises[Category],"Ukendt",0)</f>
        <v>Stabilization</v>
      </c>
      <c r="O345" s="40" t="str">
        <f>_xlfn.XLOOKUP(Log[[#This Row],[Exercise]],Table5[Exercise],Table5[Primary],"Ukendt",0)</f>
        <v>Skulder</v>
      </c>
    </row>
    <row r="346" spans="1:15">
      <c r="A346" s="19" t="s">
        <v>1077</v>
      </c>
      <c r="B346" s="21" t="s">
        <v>30</v>
      </c>
      <c r="C346" s="21" t="s">
        <v>212</v>
      </c>
      <c r="D346" s="21">
        <v>2</v>
      </c>
      <c r="E346" s="23">
        <v>20</v>
      </c>
      <c r="F346" s="23">
        <v>20</v>
      </c>
      <c r="G346" s="23">
        <v>6</v>
      </c>
      <c r="H346" s="23">
        <v>8</v>
      </c>
      <c r="I346" s="24" t="s">
        <v>1078</v>
      </c>
      <c r="J346" s="27" t="s">
        <v>1079</v>
      </c>
      <c r="K346" s="23">
        <v>3</v>
      </c>
      <c r="L346" s="23" t="s">
        <v>1080</v>
      </c>
      <c r="M346" s="40" t="str">
        <f>IF(ISNUMBER(Log[[#This Row],[Day]]),TEXT(Log[[#This Row],[Day]],"0"),Log[[#This Row],[Day]])</f>
        <v>2</v>
      </c>
      <c r="N346" s="40" t="str">
        <f>_xlfn.XLOOKUP(Log[[#This Row],[Exercise]],Exercises[Exercise],Exercises[Category],"Ukendt",0)</f>
        <v>Compound</v>
      </c>
      <c r="O346" s="40" t="str">
        <f>_xlfn.XLOOKUP(Log[[#This Row],[Exercise]],Table5[Exercise],Table5[Primary],"Ukendt",0)</f>
        <v>Ukendt</v>
      </c>
    </row>
    <row r="347" spans="1:15">
      <c r="A347" s="19" t="s">
        <v>1081</v>
      </c>
      <c r="B347" s="21" t="s">
        <v>21</v>
      </c>
      <c r="C347" s="21" t="s">
        <v>157</v>
      </c>
      <c r="D347" s="21" t="s">
        <v>156</v>
      </c>
      <c r="E347" s="23">
        <v>900</v>
      </c>
      <c r="F347" s="23">
        <v>910</v>
      </c>
      <c r="G347" s="23">
        <v>4</v>
      </c>
      <c r="H347" s="23">
        <v>4</v>
      </c>
      <c r="I347" s="24" t="s">
        <v>1082</v>
      </c>
      <c r="J347" s="27" t="s">
        <v>1083</v>
      </c>
      <c r="K347" s="23">
        <v>1</v>
      </c>
      <c r="L347" s="23" t="s">
        <v>1084</v>
      </c>
      <c r="M347" s="40" t="str">
        <f>IF(ISNUMBER(Log[[#This Row],[Day]]),TEXT(Log[[#This Row],[Day]],"0"),Log[[#This Row],[Day]])</f>
        <v>O</v>
      </c>
      <c r="N347" s="40" t="str">
        <f>_xlfn.XLOOKUP(Log[[#This Row],[Exercise]],Exercises[Exercise],Exercises[Category],"Ukendt",0)</f>
        <v>Compound</v>
      </c>
      <c r="O347" s="40" t="str">
        <f>_xlfn.XLOOKUP(Log[[#This Row],[Exercise]],Table5[Exercise],Table5[Primary],"Ukendt",0)</f>
        <v>Ukendt</v>
      </c>
    </row>
    <row r="348" spans="1:15">
      <c r="A348" s="19" t="s">
        <v>1085</v>
      </c>
      <c r="B348" s="21" t="s">
        <v>56</v>
      </c>
      <c r="C348" s="21" t="s">
        <v>131</v>
      </c>
      <c r="D348" s="21">
        <v>2</v>
      </c>
      <c r="E348" s="23">
        <v>85</v>
      </c>
      <c r="F348" s="23">
        <v>90</v>
      </c>
      <c r="G348" s="23">
        <v>12</v>
      </c>
      <c r="H348" s="23">
        <v>12</v>
      </c>
      <c r="I348" s="24" t="s">
        <v>1082</v>
      </c>
      <c r="J348" s="27" t="s">
        <v>1086</v>
      </c>
      <c r="K348" s="23">
        <v>3</v>
      </c>
      <c r="L348" s="23" t="s">
        <v>1087</v>
      </c>
      <c r="M348" s="40" t="str">
        <f>IF(ISNUMBER(Log[[#This Row],[Day]]),TEXT(Log[[#This Row],[Day]],"0"),Log[[#This Row],[Day]])</f>
        <v>2</v>
      </c>
      <c r="N348" s="40" t="str">
        <f>_xlfn.XLOOKUP(Log[[#This Row],[Exercise]],Exercises[Exercise],Exercises[Category],"Ukendt",0)</f>
        <v>Isolation</v>
      </c>
      <c r="O348" s="40" t="str">
        <f>_xlfn.XLOOKUP(Log[[#This Row],[Exercise]],Table5[Exercise],Table5[Primary],"Ukendt",0)</f>
        <v>Ukendt</v>
      </c>
    </row>
    <row r="349" spans="1:15">
      <c r="A349" s="19" t="s">
        <v>1088</v>
      </c>
      <c r="B349" s="21" t="s">
        <v>46</v>
      </c>
      <c r="C349" s="21" t="s">
        <v>181</v>
      </c>
      <c r="D349" s="21">
        <v>2</v>
      </c>
      <c r="E349" s="23">
        <v>60</v>
      </c>
      <c r="F349" s="23">
        <v>80</v>
      </c>
      <c r="G349" s="23">
        <v>12</v>
      </c>
      <c r="H349" s="23">
        <v>12</v>
      </c>
      <c r="I349" s="24" t="s">
        <v>1082</v>
      </c>
      <c r="J349" s="27" t="s">
        <v>1089</v>
      </c>
      <c r="K349" s="23">
        <v>3</v>
      </c>
      <c r="L349" s="23" t="s">
        <v>1090</v>
      </c>
      <c r="M349" s="40" t="str">
        <f>IF(ISNUMBER(Log[[#This Row],[Day]]),TEXT(Log[[#This Row],[Day]],"0"),Log[[#This Row],[Day]])</f>
        <v>2</v>
      </c>
      <c r="N349" s="40" t="str">
        <f>_xlfn.XLOOKUP(Log[[#This Row],[Exercise]],Exercises[Exercise],Exercises[Category],"Ukendt",0)</f>
        <v>Compound</v>
      </c>
      <c r="O349" s="40" t="str">
        <f>_xlfn.XLOOKUP(Log[[#This Row],[Exercise]],Table5[Exercise],Table5[Primary],"Ukendt",0)</f>
        <v>Ukendt</v>
      </c>
    </row>
    <row r="350" spans="1:15">
      <c r="A350" s="19" t="s">
        <v>1088</v>
      </c>
      <c r="B350" s="21" t="s">
        <v>46</v>
      </c>
      <c r="C350" s="21" t="s">
        <v>115</v>
      </c>
      <c r="D350" s="21">
        <v>2</v>
      </c>
      <c r="E350" s="23">
        <v>145</v>
      </c>
      <c r="F350" s="23">
        <v>145</v>
      </c>
      <c r="G350" s="23">
        <v>12</v>
      </c>
      <c r="H350" s="23">
        <v>12</v>
      </c>
      <c r="I350" s="24" t="s">
        <v>1082</v>
      </c>
      <c r="J350" s="27" t="s">
        <v>1091</v>
      </c>
      <c r="K350" s="23">
        <v>3</v>
      </c>
      <c r="L350" s="23" t="s">
        <v>1092</v>
      </c>
      <c r="M350" s="40" t="str">
        <f>IF(ISNUMBER(Log[[#This Row],[Day]]),TEXT(Log[[#This Row],[Day]],"0"),Log[[#This Row],[Day]])</f>
        <v>2</v>
      </c>
      <c r="N350" s="40" t="str">
        <f>_xlfn.XLOOKUP(Log[[#This Row],[Exercise]],Exercises[Exercise],Exercises[Category],"Ukendt",0)</f>
        <v>Isolation</v>
      </c>
      <c r="O350" s="40" t="str">
        <f>_xlfn.XLOOKUP(Log[[#This Row],[Exercise]],Table5[Exercise],Table5[Primary],"Ukendt",0)</f>
        <v>Lår</v>
      </c>
    </row>
    <row r="351" spans="1:15">
      <c r="A351" s="19" t="s">
        <v>1093</v>
      </c>
      <c r="B351" s="21" t="s">
        <v>56</v>
      </c>
      <c r="C351" s="21" t="s">
        <v>190</v>
      </c>
      <c r="D351" s="21">
        <v>2</v>
      </c>
      <c r="E351" s="23">
        <v>60</v>
      </c>
      <c r="F351" s="23">
        <v>60</v>
      </c>
      <c r="G351" s="23">
        <v>12</v>
      </c>
      <c r="H351" s="23">
        <v>12</v>
      </c>
      <c r="I351" s="24" t="s">
        <v>1082</v>
      </c>
      <c r="J351" s="27" t="s">
        <v>1094</v>
      </c>
      <c r="K351" s="23">
        <v>3</v>
      </c>
      <c r="L351" s="23" t="s">
        <v>1095</v>
      </c>
      <c r="M351" s="40" t="str">
        <f>IF(ISNUMBER(Log[[#This Row],[Day]]),TEXT(Log[[#This Row],[Day]],"0"),Log[[#This Row],[Day]])</f>
        <v>2</v>
      </c>
      <c r="N351" s="40" t="str">
        <f>_xlfn.XLOOKUP(Log[[#This Row],[Exercise]],Exercises[Exercise],Exercises[Category],"Ukendt",0)</f>
        <v>Isolation</v>
      </c>
      <c r="O351" s="40" t="str">
        <f>_xlfn.XLOOKUP(Log[[#This Row],[Exercise]],Table5[Exercise],Table5[Primary],"Ukendt",0)</f>
        <v>Ukendt</v>
      </c>
    </row>
    <row r="352" spans="1:15">
      <c r="A352" s="19" t="s">
        <v>1096</v>
      </c>
      <c r="B352" s="21" t="s">
        <v>56</v>
      </c>
      <c r="C352" s="21" t="s">
        <v>71</v>
      </c>
      <c r="D352" s="21">
        <v>2</v>
      </c>
      <c r="E352" s="23">
        <v>60</v>
      </c>
      <c r="F352" s="23">
        <v>60</v>
      </c>
      <c r="G352" s="23">
        <v>11</v>
      </c>
      <c r="H352" s="23">
        <v>11</v>
      </c>
      <c r="I352" s="24" t="s">
        <v>1082</v>
      </c>
      <c r="J352" s="27" t="s">
        <v>1097</v>
      </c>
      <c r="K352" s="23">
        <v>3</v>
      </c>
      <c r="L352" s="23" t="s">
        <v>1098</v>
      </c>
      <c r="M352" s="40" t="str">
        <f>IF(ISNUMBER(Log[[#This Row],[Day]]),TEXT(Log[[#This Row],[Day]],"0"),Log[[#This Row],[Day]])</f>
        <v>2</v>
      </c>
      <c r="N352" s="40" t="str">
        <f>_xlfn.XLOOKUP(Log[[#This Row],[Exercise]],Exercises[Exercise],Exercises[Category],"Ukendt",0)</f>
        <v>Isolation</v>
      </c>
      <c r="O352" s="40" t="str">
        <f>_xlfn.XLOOKUP(Log[[#This Row],[Exercise]],Table5[Exercise],Table5[Primary],"Ukendt",0)</f>
        <v>Biceps</v>
      </c>
    </row>
    <row r="353" spans="1:15">
      <c r="A353" s="19" t="s">
        <v>1099</v>
      </c>
      <c r="B353" s="21" t="s">
        <v>30</v>
      </c>
      <c r="C353" s="21" t="s">
        <v>212</v>
      </c>
      <c r="D353" s="21">
        <v>2</v>
      </c>
      <c r="E353" s="23">
        <v>20</v>
      </c>
      <c r="F353" s="23">
        <v>20</v>
      </c>
      <c r="G353" s="23">
        <v>8</v>
      </c>
      <c r="H353" s="23">
        <v>8</v>
      </c>
      <c r="I353" s="24" t="s">
        <v>1082</v>
      </c>
      <c r="J353" s="27" t="s">
        <v>1100</v>
      </c>
      <c r="K353" s="23">
        <v>3</v>
      </c>
      <c r="L353" s="23" t="s">
        <v>1101</v>
      </c>
      <c r="M353" s="40" t="str">
        <f>IF(ISNUMBER(Log[[#This Row],[Day]]),TEXT(Log[[#This Row],[Day]],"0"),Log[[#This Row],[Day]])</f>
        <v>2</v>
      </c>
      <c r="N353" s="40" t="str">
        <f>_xlfn.XLOOKUP(Log[[#This Row],[Exercise]],Exercises[Exercise],Exercises[Category],"Ukendt",0)</f>
        <v>Compound</v>
      </c>
      <c r="O353" s="40" t="str">
        <f>_xlfn.XLOOKUP(Log[[#This Row],[Exercise]],Table5[Exercise],Table5[Primary],"Ukendt",0)</f>
        <v>Ukendt</v>
      </c>
    </row>
    <row r="354" spans="1:15">
      <c r="A354" s="19" t="s">
        <v>1102</v>
      </c>
      <c r="B354" s="21" t="s">
        <v>21</v>
      </c>
      <c r="C354" s="21" t="s">
        <v>157</v>
      </c>
      <c r="D354" s="21" t="s">
        <v>156</v>
      </c>
      <c r="E354" s="23">
        <v>910</v>
      </c>
      <c r="F354" s="23">
        <v>924</v>
      </c>
      <c r="G354" s="23">
        <v>4</v>
      </c>
      <c r="H354" s="23">
        <v>4</v>
      </c>
      <c r="I354" s="24" t="s">
        <v>1103</v>
      </c>
      <c r="J354" s="27" t="s">
        <v>1104</v>
      </c>
      <c r="K354" s="23">
        <v>1</v>
      </c>
      <c r="L354" s="23" t="s">
        <v>1105</v>
      </c>
      <c r="M354" s="40" t="str">
        <f>IF(ISNUMBER(Log[[#This Row],[Day]]),TEXT(Log[[#This Row],[Day]],"0"),Log[[#This Row],[Day]])</f>
        <v>O</v>
      </c>
      <c r="N354" s="40" t="str">
        <f>_xlfn.XLOOKUP(Log[[#This Row],[Exercise]],Exercises[Exercise],Exercises[Category],"Ukendt",0)</f>
        <v>Compound</v>
      </c>
      <c r="O354" s="40" t="str">
        <f>_xlfn.XLOOKUP(Log[[#This Row],[Exercise]],Table5[Exercise],Table5[Primary],"Ukendt",0)</f>
        <v>Ukendt</v>
      </c>
    </row>
    <row r="355" spans="1:15">
      <c r="A355" s="19" t="s">
        <v>1106</v>
      </c>
      <c r="B355" s="21" t="s">
        <v>56</v>
      </c>
      <c r="C355" s="21" t="s">
        <v>143</v>
      </c>
      <c r="D355" s="21">
        <v>1</v>
      </c>
      <c r="E355" s="23">
        <v>0</v>
      </c>
      <c r="F355" s="23">
        <v>0</v>
      </c>
      <c r="G355" s="23">
        <v>8</v>
      </c>
      <c r="H355" s="23">
        <v>6</v>
      </c>
      <c r="I355" s="24" t="s">
        <v>1103</v>
      </c>
      <c r="J355" s="27" t="s">
        <v>1107</v>
      </c>
      <c r="K355" s="23">
        <v>3</v>
      </c>
      <c r="L355" s="23" t="s">
        <v>1108</v>
      </c>
      <c r="M355" s="40" t="str">
        <f>IF(ISNUMBER(Log[[#This Row],[Day]]),TEXT(Log[[#This Row],[Day]],"0"),Log[[#This Row],[Day]])</f>
        <v>1</v>
      </c>
      <c r="N355" s="40" t="str">
        <f>_xlfn.XLOOKUP(Log[[#This Row],[Exercise]],Exercises[Exercise],Exercises[Category],"Ukendt",0)</f>
        <v>Compound</v>
      </c>
      <c r="O355" s="40" t="str">
        <f>_xlfn.XLOOKUP(Log[[#This Row],[Exercise]],Table5[Exercise],Table5[Primary],"Ukendt",0)</f>
        <v>Ukendt</v>
      </c>
    </row>
    <row r="356" spans="1:15">
      <c r="A356" s="19" t="s">
        <v>1109</v>
      </c>
      <c r="B356" s="21" t="s">
        <v>56</v>
      </c>
      <c r="C356" s="21" t="s">
        <v>153</v>
      </c>
      <c r="D356" s="21">
        <v>1</v>
      </c>
      <c r="E356" s="23">
        <v>75</v>
      </c>
      <c r="F356" s="23">
        <v>75</v>
      </c>
      <c r="G356" s="23">
        <v>12</v>
      </c>
      <c r="H356" s="23">
        <v>12</v>
      </c>
      <c r="I356" s="24" t="s">
        <v>1103</v>
      </c>
      <c r="J356" s="27" t="s">
        <v>1110</v>
      </c>
      <c r="K356" s="23">
        <v>3</v>
      </c>
      <c r="L356" s="23" t="s">
        <v>1111</v>
      </c>
      <c r="M356" s="40" t="str">
        <f>IF(ISNUMBER(Log[[#This Row],[Day]]),TEXT(Log[[#This Row],[Day]],"0"),Log[[#This Row],[Day]])</f>
        <v>1</v>
      </c>
      <c r="N356" s="40" t="str">
        <f>_xlfn.XLOOKUP(Log[[#This Row],[Exercise]],Exercises[Exercise],Exercises[Category],"Ukendt",0)</f>
        <v>Stabilization</v>
      </c>
      <c r="O356" s="40" t="str">
        <f>_xlfn.XLOOKUP(Log[[#This Row],[Exercise]],Table5[Exercise],Table5[Primary],"Ukendt",0)</f>
        <v>Ukendt</v>
      </c>
    </row>
    <row r="357" spans="1:15">
      <c r="A357" s="19" t="s">
        <v>1112</v>
      </c>
      <c r="B357" s="21" t="s">
        <v>46</v>
      </c>
      <c r="C357" s="21" t="s">
        <v>79</v>
      </c>
      <c r="D357" s="21">
        <v>1</v>
      </c>
      <c r="E357" s="23">
        <v>20</v>
      </c>
      <c r="F357" s="23">
        <v>20</v>
      </c>
      <c r="G357" s="23">
        <v>20</v>
      </c>
      <c r="H357" s="23">
        <v>20</v>
      </c>
      <c r="I357" s="24" t="s">
        <v>1103</v>
      </c>
      <c r="J357" s="27" t="s">
        <v>1113</v>
      </c>
      <c r="K357" s="23">
        <v>3</v>
      </c>
      <c r="L357" s="23" t="s">
        <v>1114</v>
      </c>
      <c r="M357" s="40" t="str">
        <f>IF(ISNUMBER(Log[[#This Row],[Day]]),TEXT(Log[[#This Row],[Day]],"0"),Log[[#This Row],[Day]])</f>
        <v>1</v>
      </c>
      <c r="N357" s="40" t="str">
        <f>_xlfn.XLOOKUP(Log[[#This Row],[Exercise]],Exercises[Exercise],Exercises[Category],"Ukendt",0)</f>
        <v>Compound</v>
      </c>
      <c r="O357" s="40" t="str">
        <f>_xlfn.XLOOKUP(Log[[#This Row],[Exercise]],Table5[Exercise],Table5[Primary],"Ukendt",0)</f>
        <v>Lår</v>
      </c>
    </row>
    <row r="358" spans="1:15">
      <c r="A358" s="19" t="s">
        <v>1115</v>
      </c>
      <c r="B358" s="21" t="s">
        <v>56</v>
      </c>
      <c r="C358" s="21" t="s">
        <v>174</v>
      </c>
      <c r="D358" s="21">
        <v>1</v>
      </c>
      <c r="E358" s="23">
        <v>30</v>
      </c>
      <c r="F358" s="23">
        <v>30</v>
      </c>
      <c r="G358" s="23">
        <v>12</v>
      </c>
      <c r="H358" s="23">
        <v>12</v>
      </c>
      <c r="I358" s="24" t="s">
        <v>1103</v>
      </c>
      <c r="J358" s="27" t="s">
        <v>1116</v>
      </c>
      <c r="K358" s="23">
        <v>3</v>
      </c>
      <c r="L358" s="23" t="s">
        <v>1117</v>
      </c>
      <c r="M358" s="40" t="str">
        <f>IF(ISNUMBER(Log[[#This Row],[Day]]),TEXT(Log[[#This Row],[Day]],"0"),Log[[#This Row],[Day]])</f>
        <v>1</v>
      </c>
      <c r="N358" s="40" t="str">
        <f>_xlfn.XLOOKUP(Log[[#This Row],[Exercise]],Exercises[Exercise],Exercises[Category],"Ukendt",0)</f>
        <v>Compound</v>
      </c>
      <c r="O358" s="40" t="str">
        <f>_xlfn.XLOOKUP(Log[[#This Row],[Exercise]],Table5[Exercise],Table5[Primary],"Ukendt",0)</f>
        <v>Ukendt</v>
      </c>
    </row>
    <row r="359" spans="1:15">
      <c r="A359" s="19" t="s">
        <v>1118</v>
      </c>
      <c r="B359" s="21" t="s">
        <v>30</v>
      </c>
      <c r="C359" s="21" t="s">
        <v>75</v>
      </c>
      <c r="D359" s="21">
        <v>1</v>
      </c>
      <c r="E359" s="23">
        <v>45</v>
      </c>
      <c r="F359" s="23">
        <v>45</v>
      </c>
      <c r="G359" s="23">
        <v>12</v>
      </c>
      <c r="H359" s="23">
        <v>12</v>
      </c>
      <c r="I359" s="24" t="s">
        <v>1103</v>
      </c>
      <c r="J359" s="27" t="s">
        <v>1119</v>
      </c>
      <c r="K359" s="23">
        <v>3</v>
      </c>
      <c r="L359" s="23" t="s">
        <v>1120</v>
      </c>
      <c r="M359" s="40" t="str">
        <f>IF(ISNUMBER(Log[[#This Row],[Day]]),TEXT(Log[[#This Row],[Day]],"0"),Log[[#This Row],[Day]])</f>
        <v>1</v>
      </c>
      <c r="N359" s="40" t="str">
        <f>_xlfn.XLOOKUP(Log[[#This Row],[Exercise]],Exercises[Exercise],Exercises[Category],"Ukendt",0)</f>
        <v>Compound</v>
      </c>
      <c r="O359" s="40" t="str">
        <f>_xlfn.XLOOKUP(Log[[#This Row],[Exercise]],Table5[Exercise],Table5[Primary],"Ukendt",0)</f>
        <v>Bryst</v>
      </c>
    </row>
    <row r="360" spans="1:15">
      <c r="A360" s="19" t="s">
        <v>1121</v>
      </c>
      <c r="B360" s="21" t="s">
        <v>56</v>
      </c>
      <c r="C360" s="21" t="s">
        <v>190</v>
      </c>
      <c r="D360" s="21">
        <v>2</v>
      </c>
      <c r="E360" s="23">
        <v>60</v>
      </c>
      <c r="F360" s="23">
        <v>60</v>
      </c>
      <c r="G360" s="23">
        <v>12</v>
      </c>
      <c r="H360" s="23">
        <v>12</v>
      </c>
      <c r="I360" s="24" t="s">
        <v>1122</v>
      </c>
      <c r="J360" s="27" t="s">
        <v>1123</v>
      </c>
      <c r="K360" s="23">
        <v>3</v>
      </c>
      <c r="L360" s="23" t="s">
        <v>1124</v>
      </c>
      <c r="M360" s="40" t="str">
        <f>IF(ISNUMBER(Log[[#This Row],[Day]]),TEXT(Log[[#This Row],[Day]],"0"),Log[[#This Row],[Day]])</f>
        <v>2</v>
      </c>
      <c r="N360" s="40" t="str">
        <f>_xlfn.XLOOKUP(Log[[#This Row],[Exercise]],Exercises[Exercise],Exercises[Category],"Ukendt",0)</f>
        <v>Isolation</v>
      </c>
      <c r="O360" s="40" t="str">
        <f>_xlfn.XLOOKUP(Log[[#This Row],[Exercise]],Table5[Exercise],Table5[Primary],"Ukendt",0)</f>
        <v>Ukendt</v>
      </c>
    </row>
    <row r="361" spans="1:15">
      <c r="A361" s="19" t="s">
        <v>1125</v>
      </c>
      <c r="B361" s="21" t="s">
        <v>56</v>
      </c>
      <c r="C361" s="21" t="s">
        <v>153</v>
      </c>
      <c r="D361" s="21">
        <v>1</v>
      </c>
      <c r="E361" s="23">
        <v>75</v>
      </c>
      <c r="F361" s="23">
        <v>75</v>
      </c>
      <c r="G361" s="23">
        <v>12</v>
      </c>
      <c r="H361" s="23">
        <v>12</v>
      </c>
      <c r="I361" s="24" t="s">
        <v>1122</v>
      </c>
      <c r="J361" s="27" t="s">
        <v>1126</v>
      </c>
      <c r="K361" s="23">
        <v>3</v>
      </c>
      <c r="L361" s="23" t="s">
        <v>1127</v>
      </c>
      <c r="M361" s="40" t="str">
        <f>IF(ISNUMBER(Log[[#This Row],[Day]]),TEXT(Log[[#This Row],[Day]],"0"),Log[[#This Row],[Day]])</f>
        <v>1</v>
      </c>
      <c r="N361" s="40" t="str">
        <f>_xlfn.XLOOKUP(Log[[#This Row],[Exercise]],Exercises[Exercise],Exercises[Category],"Ukendt",0)</f>
        <v>Stabilization</v>
      </c>
      <c r="O361" s="40" t="str">
        <f>_xlfn.XLOOKUP(Log[[#This Row],[Exercise]],Table5[Exercise],Table5[Primary],"Ukendt",0)</f>
        <v>Ukendt</v>
      </c>
    </row>
    <row r="362" spans="1:15">
      <c r="A362" s="19" t="s">
        <v>1125</v>
      </c>
      <c r="B362" s="21" t="s">
        <v>46</v>
      </c>
      <c r="C362" s="21" t="s">
        <v>177</v>
      </c>
      <c r="D362" s="21">
        <v>1</v>
      </c>
      <c r="E362" s="23">
        <v>30</v>
      </c>
      <c r="F362" s="23"/>
      <c r="G362" s="23">
        <v>8</v>
      </c>
      <c r="H362" s="23">
        <v>13</v>
      </c>
      <c r="I362" s="24" t="s">
        <v>1122</v>
      </c>
      <c r="J362" s="27" t="s">
        <v>1128</v>
      </c>
      <c r="K362" s="23">
        <v>3</v>
      </c>
      <c r="L362" s="23" t="s">
        <v>1129</v>
      </c>
      <c r="M362" s="40" t="str">
        <f>IF(ISNUMBER(Log[[#This Row],[Day]]),TEXT(Log[[#This Row],[Day]],"0"),Log[[#This Row],[Day]])</f>
        <v>1</v>
      </c>
      <c r="N362" s="40" t="str">
        <f>_xlfn.XLOOKUP(Log[[#This Row],[Exercise]],Exercises[Exercise],Exercises[Category],"Ukendt",0)</f>
        <v>Compound</v>
      </c>
      <c r="O362" s="40" t="str">
        <f>_xlfn.XLOOKUP(Log[[#This Row],[Exercise]],Table5[Exercise],Table5[Primary],"Ukendt",0)</f>
        <v>Ukendt</v>
      </c>
    </row>
    <row r="363" spans="1:15">
      <c r="A363" s="19" t="s">
        <v>1130</v>
      </c>
      <c r="B363" s="21" t="s">
        <v>46</v>
      </c>
      <c r="C363" s="21" t="s">
        <v>79</v>
      </c>
      <c r="D363" s="21">
        <v>1</v>
      </c>
      <c r="E363" s="23">
        <v>20</v>
      </c>
      <c r="F363" s="23">
        <v>20</v>
      </c>
      <c r="G363" s="23">
        <v>20</v>
      </c>
      <c r="H363" s="23">
        <v>20</v>
      </c>
      <c r="I363" s="24" t="s">
        <v>1122</v>
      </c>
      <c r="J363" s="27" t="s">
        <v>1131</v>
      </c>
      <c r="K363" s="23">
        <v>3</v>
      </c>
      <c r="L363" s="23" t="s">
        <v>1132</v>
      </c>
      <c r="M363" s="40" t="str">
        <f>IF(ISNUMBER(Log[[#This Row],[Day]]),TEXT(Log[[#This Row],[Day]],"0"),Log[[#This Row],[Day]])</f>
        <v>1</v>
      </c>
      <c r="N363" s="40" t="str">
        <f>_xlfn.XLOOKUP(Log[[#This Row],[Exercise]],Exercises[Exercise],Exercises[Category],"Ukendt",0)</f>
        <v>Compound</v>
      </c>
      <c r="O363" s="40" t="str">
        <f>_xlfn.XLOOKUP(Log[[#This Row],[Exercise]],Table5[Exercise],Table5[Primary],"Ukendt",0)</f>
        <v>Lår</v>
      </c>
    </row>
    <row r="364" spans="1:15">
      <c r="A364" s="19" t="s">
        <v>1133</v>
      </c>
      <c r="B364" s="21" t="s">
        <v>30</v>
      </c>
      <c r="C364" s="21" t="s">
        <v>212</v>
      </c>
      <c r="D364" s="21">
        <v>2</v>
      </c>
      <c r="E364" s="23">
        <v>20</v>
      </c>
      <c r="F364" s="23">
        <v>20</v>
      </c>
      <c r="G364" s="23">
        <v>8</v>
      </c>
      <c r="H364" s="23">
        <v>8</v>
      </c>
      <c r="I364" s="24" t="s">
        <v>1122</v>
      </c>
      <c r="J364" s="27" t="s">
        <v>1134</v>
      </c>
      <c r="K364" s="23">
        <v>3</v>
      </c>
      <c r="L364" s="23" t="s">
        <v>1135</v>
      </c>
      <c r="M364" s="40" t="str">
        <f>IF(ISNUMBER(Log[[#This Row],[Day]]),TEXT(Log[[#This Row],[Day]],"0"),Log[[#This Row],[Day]])</f>
        <v>2</v>
      </c>
      <c r="N364" s="40" t="str">
        <f>_xlfn.XLOOKUP(Log[[#This Row],[Exercise]],Exercises[Exercise],Exercises[Category],"Ukendt",0)</f>
        <v>Compound</v>
      </c>
      <c r="O364" s="40" t="str">
        <f>_xlfn.XLOOKUP(Log[[#This Row],[Exercise]],Table5[Exercise],Table5[Primary],"Ukendt",0)</f>
        <v>Ukendt</v>
      </c>
    </row>
    <row r="365" spans="1:15">
      <c r="A365" s="19" t="s">
        <v>1136</v>
      </c>
      <c r="B365" s="21" t="s">
        <v>56</v>
      </c>
      <c r="C365" s="21" t="s">
        <v>174</v>
      </c>
      <c r="D365" s="21">
        <v>1</v>
      </c>
      <c r="E365" s="23">
        <v>30</v>
      </c>
      <c r="F365" s="23">
        <v>30</v>
      </c>
      <c r="G365" s="23">
        <v>12</v>
      </c>
      <c r="H365" s="23">
        <v>12</v>
      </c>
      <c r="I365" s="24" t="s">
        <v>1122</v>
      </c>
      <c r="J365" s="27" t="s">
        <v>1137</v>
      </c>
      <c r="K365" s="23">
        <v>3</v>
      </c>
      <c r="L365" s="23" t="s">
        <v>1138</v>
      </c>
      <c r="M365" s="40" t="str">
        <f>IF(ISNUMBER(Log[[#This Row],[Day]]),TEXT(Log[[#This Row],[Day]],"0"),Log[[#This Row],[Day]])</f>
        <v>1</v>
      </c>
      <c r="N365" s="40" t="str">
        <f>_xlfn.XLOOKUP(Log[[#This Row],[Exercise]],Exercises[Exercise],Exercises[Category],"Ukendt",0)</f>
        <v>Compound</v>
      </c>
      <c r="O365" s="40" t="str">
        <f>_xlfn.XLOOKUP(Log[[#This Row],[Exercise]],Table5[Exercise],Table5[Primary],"Ukendt",0)</f>
        <v>Ukendt</v>
      </c>
    </row>
    <row r="366" spans="1:15">
      <c r="A366" s="19" t="s">
        <v>1136</v>
      </c>
      <c r="B366" s="21" t="s">
        <v>21</v>
      </c>
      <c r="C366" s="21" t="s">
        <v>97</v>
      </c>
      <c r="D366" s="21">
        <v>2</v>
      </c>
      <c r="E366" s="23">
        <v>0</v>
      </c>
      <c r="F366" s="23">
        <v>0</v>
      </c>
      <c r="G366" s="23">
        <v>16</v>
      </c>
      <c r="H366" s="23">
        <v>16</v>
      </c>
      <c r="I366" s="24" t="s">
        <v>1122</v>
      </c>
      <c r="J366" s="27" t="s">
        <v>1139</v>
      </c>
      <c r="K366" s="23">
        <v>3</v>
      </c>
      <c r="L366" s="23" t="s">
        <v>1140</v>
      </c>
      <c r="M366" s="40" t="str">
        <f>IF(ISNUMBER(Log[[#This Row],[Day]]),TEXT(Log[[#This Row],[Day]],"0"),Log[[#This Row],[Day]])</f>
        <v>2</v>
      </c>
      <c r="N366" s="40" t="str">
        <f>_xlfn.XLOOKUP(Log[[#This Row],[Exercise]],Exercises[Exercise],Exercises[Category],"Ukendt",0)</f>
        <v>Core</v>
      </c>
      <c r="O366" s="40" t="str">
        <f>_xlfn.XLOOKUP(Log[[#This Row],[Exercise]],Table5[Exercise],Table5[Primary],"Ukendt",0)</f>
        <v>Mave</v>
      </c>
    </row>
    <row r="367" spans="1:15">
      <c r="A367" s="19" t="s">
        <v>1141</v>
      </c>
      <c r="B367" s="21" t="s">
        <v>21</v>
      </c>
      <c r="C367" s="21" t="s">
        <v>157</v>
      </c>
      <c r="D367" s="21" t="s">
        <v>156</v>
      </c>
      <c r="E367" s="23">
        <v>924</v>
      </c>
      <c r="F367" s="23">
        <v>924</v>
      </c>
      <c r="G367" s="23">
        <v>4</v>
      </c>
      <c r="H367" s="23">
        <v>4</v>
      </c>
      <c r="I367" s="24" t="s">
        <v>1142</v>
      </c>
      <c r="J367" s="27" t="s">
        <v>1143</v>
      </c>
      <c r="K367" s="23">
        <v>1</v>
      </c>
      <c r="L367" s="23" t="s">
        <v>1144</v>
      </c>
      <c r="M367" s="40" t="str">
        <f>IF(ISNUMBER(Log[[#This Row],[Day]]),TEXT(Log[[#This Row],[Day]],"0"),Log[[#This Row],[Day]])</f>
        <v>O</v>
      </c>
      <c r="N367" s="40" t="str">
        <f>_xlfn.XLOOKUP(Log[[#This Row],[Exercise]],Exercises[Exercise],Exercises[Category],"Ukendt",0)</f>
        <v>Compound</v>
      </c>
      <c r="O367" s="40" t="str">
        <f>_xlfn.XLOOKUP(Log[[#This Row],[Exercise]],Table5[Exercise],Table5[Primary],"Ukendt",0)</f>
        <v>Ukendt</v>
      </c>
    </row>
    <row r="368" spans="1:15">
      <c r="A368" s="19" t="s">
        <v>1141</v>
      </c>
      <c r="B368" s="21" t="s">
        <v>56</v>
      </c>
      <c r="C368" s="21" t="s">
        <v>206</v>
      </c>
      <c r="D368" s="21">
        <v>1</v>
      </c>
      <c r="E368" s="23">
        <v>80</v>
      </c>
      <c r="F368" s="23">
        <v>70</v>
      </c>
      <c r="G368" s="23">
        <v>3</v>
      </c>
      <c r="H368" s="23">
        <v>10</v>
      </c>
      <c r="I368" s="24" t="s">
        <v>1142</v>
      </c>
      <c r="J368" s="27" t="s">
        <v>1145</v>
      </c>
      <c r="K368" s="23">
        <v>3</v>
      </c>
      <c r="L368" s="23" t="s">
        <v>1146</v>
      </c>
      <c r="M368" s="40" t="str">
        <f>IF(ISNUMBER(Log[[#This Row],[Day]]),TEXT(Log[[#This Row],[Day]],"0"),Log[[#This Row],[Day]])</f>
        <v>1</v>
      </c>
      <c r="N368" s="40" t="str">
        <f>_xlfn.XLOOKUP(Log[[#This Row],[Exercise]],Exercises[Exercise],Exercises[Category],"Ukendt",0)</f>
        <v>Compound</v>
      </c>
      <c r="O368" s="40" t="str">
        <f>_xlfn.XLOOKUP(Log[[#This Row],[Exercise]],Table5[Exercise],Table5[Primary],"Ukendt",0)</f>
        <v>Ukendt</v>
      </c>
    </row>
    <row r="369" spans="1:15">
      <c r="A369" s="19" t="s">
        <v>1147</v>
      </c>
      <c r="B369" s="21" t="s">
        <v>46</v>
      </c>
      <c r="C369" s="21" t="s">
        <v>181</v>
      </c>
      <c r="D369" s="21">
        <v>2</v>
      </c>
      <c r="E369" s="23">
        <v>80</v>
      </c>
      <c r="F369" s="23">
        <v>70</v>
      </c>
      <c r="G369" s="23">
        <v>12</v>
      </c>
      <c r="H369" s="23">
        <v>10</v>
      </c>
      <c r="I369" s="24" t="s">
        <v>1142</v>
      </c>
      <c r="J369" s="27" t="s">
        <v>1148</v>
      </c>
      <c r="K369" s="23">
        <v>3</v>
      </c>
      <c r="L369" s="23" t="s">
        <v>1149</v>
      </c>
      <c r="M369" s="40" t="str">
        <f>IF(ISNUMBER(Log[[#This Row],[Day]]),TEXT(Log[[#This Row],[Day]],"0"),Log[[#This Row],[Day]])</f>
        <v>2</v>
      </c>
      <c r="N369" s="40" t="str">
        <f>_xlfn.XLOOKUP(Log[[#This Row],[Exercise]],Exercises[Exercise],Exercises[Category],"Ukendt",0)</f>
        <v>Compound</v>
      </c>
      <c r="O369" s="40" t="str">
        <f>_xlfn.XLOOKUP(Log[[#This Row],[Exercise]],Table5[Exercise],Table5[Primary],"Ukendt",0)</f>
        <v>Ukendt</v>
      </c>
    </row>
    <row r="370" spans="1:15">
      <c r="A370" s="19" t="s">
        <v>1150</v>
      </c>
      <c r="B370" s="21" t="s">
        <v>56</v>
      </c>
      <c r="C370" s="21" t="s">
        <v>131</v>
      </c>
      <c r="D370" s="21">
        <v>2</v>
      </c>
      <c r="E370" s="23">
        <v>90</v>
      </c>
      <c r="F370" s="23">
        <v>90</v>
      </c>
      <c r="G370" s="23">
        <v>12</v>
      </c>
      <c r="H370" s="23">
        <v>12</v>
      </c>
      <c r="I370" s="24" t="s">
        <v>1142</v>
      </c>
      <c r="J370" s="27" t="s">
        <v>1151</v>
      </c>
      <c r="K370" s="23">
        <v>3</v>
      </c>
      <c r="L370" s="23" t="s">
        <v>1152</v>
      </c>
      <c r="M370" s="40" t="str">
        <f>IF(ISNUMBER(Log[[#This Row],[Day]]),TEXT(Log[[#This Row],[Day]],"0"),Log[[#This Row],[Day]])</f>
        <v>2</v>
      </c>
      <c r="N370" s="40" t="str">
        <f>_xlfn.XLOOKUP(Log[[#This Row],[Exercise]],Exercises[Exercise],Exercises[Category],"Ukendt",0)</f>
        <v>Isolation</v>
      </c>
      <c r="O370" s="40" t="str">
        <f>_xlfn.XLOOKUP(Log[[#This Row],[Exercise]],Table5[Exercise],Table5[Primary],"Ukendt",0)</f>
        <v>Ukendt</v>
      </c>
    </row>
    <row r="371" spans="1:15">
      <c r="A371" s="19" t="s">
        <v>1153</v>
      </c>
      <c r="B371" s="21" t="s">
        <v>30</v>
      </c>
      <c r="C371" s="21" t="s">
        <v>208</v>
      </c>
      <c r="D371" s="21">
        <v>1</v>
      </c>
      <c r="E371" s="23"/>
      <c r="F371" s="23"/>
      <c r="G371" s="23">
        <v>6</v>
      </c>
      <c r="H371" s="23">
        <v>9</v>
      </c>
      <c r="I371" s="24" t="s">
        <v>1154</v>
      </c>
      <c r="J371" s="27" t="s">
        <v>1155</v>
      </c>
      <c r="K371" s="23">
        <v>3</v>
      </c>
      <c r="L371" s="23" t="s">
        <v>1156</v>
      </c>
      <c r="M371" s="40" t="str">
        <f>IF(ISNUMBER(Log[[#This Row],[Day]]),TEXT(Log[[#This Row],[Day]],"0"),Log[[#This Row],[Day]])</f>
        <v>1</v>
      </c>
      <c r="N371" s="40" t="str">
        <f>_xlfn.XLOOKUP(Log[[#This Row],[Exercise]],Exercises[Exercise],Exercises[Category],"Ukendt",0)</f>
        <v>Isolation</v>
      </c>
      <c r="O371" s="40" t="str">
        <f>_xlfn.XLOOKUP(Log[[#This Row],[Exercise]],Table5[Exercise],Table5[Primary],"Ukendt",0)</f>
        <v>Ukendt</v>
      </c>
    </row>
    <row r="372" spans="1:15">
      <c r="A372" s="19" t="s">
        <v>1153</v>
      </c>
      <c r="B372" s="21" t="s">
        <v>46</v>
      </c>
      <c r="C372" s="21" t="s">
        <v>177</v>
      </c>
      <c r="D372" s="21">
        <v>1</v>
      </c>
      <c r="E372" s="23"/>
      <c r="F372" s="23"/>
      <c r="G372" s="23">
        <v>13</v>
      </c>
      <c r="H372" s="23">
        <v>15</v>
      </c>
      <c r="I372" s="24" t="s">
        <v>1154</v>
      </c>
      <c r="J372" s="27" t="s">
        <v>1157</v>
      </c>
      <c r="K372" s="23">
        <v>3</v>
      </c>
      <c r="L372" s="23" t="s">
        <v>1158</v>
      </c>
      <c r="M372" s="40" t="str">
        <f>IF(ISNUMBER(Log[[#This Row],[Day]]),TEXT(Log[[#This Row],[Day]],"0"),Log[[#This Row],[Day]])</f>
        <v>1</v>
      </c>
      <c r="N372" s="40" t="str">
        <f>_xlfn.XLOOKUP(Log[[#This Row],[Exercise]],Exercises[Exercise],Exercises[Category],"Ukendt",0)</f>
        <v>Compound</v>
      </c>
      <c r="O372" s="40" t="str">
        <f>_xlfn.XLOOKUP(Log[[#This Row],[Exercise]],Table5[Exercise],Table5[Primary],"Ukendt",0)</f>
        <v>Ukendt</v>
      </c>
    </row>
    <row r="373" spans="1:15">
      <c r="A373" s="19" t="s">
        <v>1159</v>
      </c>
      <c r="B373" s="21" t="s">
        <v>56</v>
      </c>
      <c r="C373" s="21" t="s">
        <v>174</v>
      </c>
      <c r="D373" s="21">
        <v>1</v>
      </c>
      <c r="E373" s="23">
        <v>30</v>
      </c>
      <c r="F373" s="23">
        <v>35</v>
      </c>
      <c r="G373" s="23">
        <v>12</v>
      </c>
      <c r="H373" s="23">
        <v>8</v>
      </c>
      <c r="I373" s="24" t="s">
        <v>1154</v>
      </c>
      <c r="J373" s="27" t="s">
        <v>1160</v>
      </c>
      <c r="K373" s="23">
        <v>3</v>
      </c>
      <c r="L373" s="23" t="s">
        <v>1161</v>
      </c>
      <c r="M373" s="40" t="str">
        <f>IF(ISNUMBER(Log[[#This Row],[Day]]),TEXT(Log[[#This Row],[Day]],"0"),Log[[#This Row],[Day]])</f>
        <v>1</v>
      </c>
      <c r="N373" s="40" t="str">
        <f>_xlfn.XLOOKUP(Log[[#This Row],[Exercise]],Exercises[Exercise],Exercises[Category],"Ukendt",0)</f>
        <v>Compound</v>
      </c>
      <c r="O373" s="40" t="str">
        <f>_xlfn.XLOOKUP(Log[[#This Row],[Exercise]],Table5[Exercise],Table5[Primary],"Ukendt",0)</f>
        <v>Ukendt</v>
      </c>
    </row>
    <row r="374" spans="1:15">
      <c r="A374" s="19" t="s">
        <v>1162</v>
      </c>
      <c r="B374" s="21" t="s">
        <v>46</v>
      </c>
      <c r="C374" s="21" t="s">
        <v>79</v>
      </c>
      <c r="D374" s="21">
        <v>1</v>
      </c>
      <c r="E374" s="23">
        <v>20</v>
      </c>
      <c r="F374" s="23">
        <v>20</v>
      </c>
      <c r="G374" s="23">
        <v>20</v>
      </c>
      <c r="H374" s="23">
        <v>20</v>
      </c>
      <c r="I374" s="24" t="s">
        <v>1154</v>
      </c>
      <c r="J374" s="27" t="s">
        <v>1163</v>
      </c>
      <c r="K374" s="23">
        <v>3</v>
      </c>
      <c r="L374" s="23" t="s">
        <v>1164</v>
      </c>
      <c r="M374" s="40" t="str">
        <f>IF(ISNUMBER(Log[[#This Row],[Day]]),TEXT(Log[[#This Row],[Day]],"0"),Log[[#This Row],[Day]])</f>
        <v>1</v>
      </c>
      <c r="N374" s="40" t="str">
        <f>_xlfn.XLOOKUP(Log[[#This Row],[Exercise]],Exercises[Exercise],Exercises[Category],"Ukendt",0)</f>
        <v>Compound</v>
      </c>
      <c r="O374" s="40" t="str">
        <f>_xlfn.XLOOKUP(Log[[#This Row],[Exercise]],Table5[Exercise],Table5[Primary],"Ukendt",0)</f>
        <v>Lår</v>
      </c>
    </row>
    <row r="375" spans="1:15">
      <c r="A375" s="19" t="s">
        <v>1162</v>
      </c>
      <c r="B375" s="21" t="s">
        <v>30</v>
      </c>
      <c r="C375" s="21" t="s">
        <v>35</v>
      </c>
      <c r="D375" s="21">
        <v>1</v>
      </c>
      <c r="E375" s="23">
        <v>0</v>
      </c>
      <c r="F375" s="23">
        <v>0</v>
      </c>
      <c r="G375" s="23">
        <v>12</v>
      </c>
      <c r="H375" s="23">
        <v>12</v>
      </c>
      <c r="I375" s="24" t="s">
        <v>1154</v>
      </c>
      <c r="J375" s="27" t="s">
        <v>1165</v>
      </c>
      <c r="K375" s="23">
        <v>3</v>
      </c>
      <c r="L375" s="23" t="s">
        <v>1166</v>
      </c>
      <c r="M375" s="40" t="str">
        <f>IF(ISNUMBER(Log[[#This Row],[Day]]),TEXT(Log[[#This Row],[Day]],"0"),Log[[#This Row],[Day]])</f>
        <v>1</v>
      </c>
      <c r="N375" s="40" t="str">
        <f>_xlfn.XLOOKUP(Log[[#This Row],[Exercise]],Exercises[Exercise],Exercises[Category],"Ukendt",0)</f>
        <v>Compound</v>
      </c>
      <c r="O375" s="40" t="str">
        <f>_xlfn.XLOOKUP(Log[[#This Row],[Exercise]],Table5[Exercise],Table5[Primary],"Ukendt",0)</f>
        <v>Triceps</v>
      </c>
    </row>
    <row r="376" spans="1:15">
      <c r="A376" s="19" t="s">
        <v>1167</v>
      </c>
      <c r="B376" s="21" t="s">
        <v>30</v>
      </c>
      <c r="C376" s="21" t="s">
        <v>41</v>
      </c>
      <c r="D376" s="21">
        <v>1</v>
      </c>
      <c r="E376" s="23">
        <v>70</v>
      </c>
      <c r="F376" s="23">
        <v>70</v>
      </c>
      <c r="G376" s="23">
        <v>6</v>
      </c>
      <c r="H376" s="23">
        <v>5</v>
      </c>
      <c r="I376" s="24" t="s">
        <v>103</v>
      </c>
      <c r="J376" s="27" t="s">
        <v>1168</v>
      </c>
      <c r="K376" s="23">
        <v>3</v>
      </c>
      <c r="L376" s="23" t="s">
        <v>1169</v>
      </c>
      <c r="M376" s="40" t="str">
        <f>IF(ISNUMBER(Log[[#This Row],[Day]]),TEXT(Log[[#This Row],[Day]],"0"),Log[[#This Row],[Day]])</f>
        <v>1</v>
      </c>
      <c r="N376" s="40" t="str">
        <f>_xlfn.XLOOKUP(Log[[#This Row],[Exercise]],Exercises[Exercise],Exercises[Category],"Ukendt",0)</f>
        <v>Compound</v>
      </c>
      <c r="O376" s="40" t="str">
        <f>_xlfn.XLOOKUP(Log[[#This Row],[Exercise]],Table5[Exercise],Table5[Primary],"Ukendt",0)</f>
        <v>Bryst</v>
      </c>
    </row>
    <row r="377" spans="1:15">
      <c r="A377" s="19" t="s">
        <v>1170</v>
      </c>
      <c r="B377" s="21" t="s">
        <v>30</v>
      </c>
      <c r="C377" s="21" t="s">
        <v>212</v>
      </c>
      <c r="D377" s="21">
        <v>2</v>
      </c>
      <c r="E377" s="23">
        <v>20</v>
      </c>
      <c r="F377" s="23">
        <v>20</v>
      </c>
      <c r="G377" s="23">
        <v>8</v>
      </c>
      <c r="H377" s="23">
        <v>8</v>
      </c>
      <c r="I377" s="24" t="s">
        <v>103</v>
      </c>
      <c r="J377" s="27" t="s">
        <v>1171</v>
      </c>
      <c r="K377" s="23">
        <v>3</v>
      </c>
      <c r="L377" s="23" t="s">
        <v>1172</v>
      </c>
      <c r="M377" s="40" t="str">
        <f>IF(ISNUMBER(Log[[#This Row],[Day]]),TEXT(Log[[#This Row],[Day]],"0"),Log[[#This Row],[Day]])</f>
        <v>2</v>
      </c>
      <c r="N377" s="40" t="str">
        <f>_xlfn.XLOOKUP(Log[[#This Row],[Exercise]],Exercises[Exercise],Exercises[Category],"Ukendt",0)</f>
        <v>Compound</v>
      </c>
      <c r="O377" s="40" t="str">
        <f>_xlfn.XLOOKUP(Log[[#This Row],[Exercise]],Table5[Exercise],Table5[Primary],"Ukendt",0)</f>
        <v>Ukendt</v>
      </c>
    </row>
    <row r="378" spans="1:15">
      <c r="A378" s="19" t="s">
        <v>1173</v>
      </c>
      <c r="B378" s="21" t="s">
        <v>46</v>
      </c>
      <c r="C378" s="21" t="s">
        <v>115</v>
      </c>
      <c r="D378" s="21">
        <v>2</v>
      </c>
      <c r="E378" s="23">
        <v>145</v>
      </c>
      <c r="F378" s="23">
        <v>145</v>
      </c>
      <c r="G378" s="23">
        <v>12</v>
      </c>
      <c r="H378" s="23">
        <v>12</v>
      </c>
      <c r="I378" s="24" t="s">
        <v>103</v>
      </c>
      <c r="J378" s="27" t="s">
        <v>1174</v>
      </c>
      <c r="K378" s="23">
        <v>3</v>
      </c>
      <c r="L378" s="23" t="s">
        <v>1175</v>
      </c>
      <c r="M378" s="40" t="str">
        <f>IF(ISNUMBER(Log[[#This Row],[Day]]),TEXT(Log[[#This Row],[Day]],"0"),Log[[#This Row],[Day]])</f>
        <v>2</v>
      </c>
      <c r="N378" s="40" t="str">
        <f>_xlfn.XLOOKUP(Log[[#This Row],[Exercise]],Exercises[Exercise],Exercises[Category],"Ukendt",0)</f>
        <v>Isolation</v>
      </c>
      <c r="O378" s="40" t="str">
        <f>_xlfn.XLOOKUP(Log[[#This Row],[Exercise]],Table5[Exercise],Table5[Primary],"Ukendt",0)</f>
        <v>Lår</v>
      </c>
    </row>
    <row r="379" spans="1:15">
      <c r="A379" s="19" t="s">
        <v>1176</v>
      </c>
      <c r="B379" s="21" t="s">
        <v>30</v>
      </c>
      <c r="C379" s="21" t="s">
        <v>75</v>
      </c>
      <c r="D379" s="21">
        <v>1</v>
      </c>
      <c r="E379" s="23">
        <v>45</v>
      </c>
      <c r="F379" s="23">
        <v>45</v>
      </c>
      <c r="G379" s="23">
        <v>12</v>
      </c>
      <c r="H379" s="23">
        <v>8</v>
      </c>
      <c r="I379" s="24" t="s">
        <v>103</v>
      </c>
      <c r="J379" s="27" t="s">
        <v>1177</v>
      </c>
      <c r="K379" s="23">
        <v>3</v>
      </c>
      <c r="L379" s="23" t="s">
        <v>1178</v>
      </c>
      <c r="M379" s="40" t="str">
        <f>IF(ISNUMBER(Log[[#This Row],[Day]]),TEXT(Log[[#This Row],[Day]],"0"),Log[[#This Row],[Day]])</f>
        <v>1</v>
      </c>
      <c r="N379" s="40" t="str">
        <f>_xlfn.XLOOKUP(Log[[#This Row],[Exercise]],Exercises[Exercise],Exercises[Category],"Ukendt",0)</f>
        <v>Compound</v>
      </c>
      <c r="O379" s="40" t="str">
        <f>_xlfn.XLOOKUP(Log[[#This Row],[Exercise]],Table5[Exercise],Table5[Primary],"Ukendt",0)</f>
        <v>Bryst</v>
      </c>
    </row>
    <row r="380" spans="1:15">
      <c r="A380" s="19" t="s">
        <v>1179</v>
      </c>
      <c r="B380" s="21" t="s">
        <v>46</v>
      </c>
      <c r="C380" s="21" t="s">
        <v>181</v>
      </c>
      <c r="D380" s="21">
        <v>2</v>
      </c>
      <c r="E380" s="23">
        <v>70</v>
      </c>
      <c r="F380" s="23">
        <v>70</v>
      </c>
      <c r="G380" s="23">
        <v>10</v>
      </c>
      <c r="H380" s="23">
        <v>10</v>
      </c>
      <c r="I380" s="24" t="s">
        <v>1180</v>
      </c>
      <c r="J380" s="27" t="s">
        <v>1181</v>
      </c>
      <c r="K380" s="23">
        <v>3</v>
      </c>
      <c r="L380" s="23" t="s">
        <v>1182</v>
      </c>
      <c r="M380" s="40" t="str">
        <f>IF(ISNUMBER(Log[[#This Row],[Day]]),TEXT(Log[[#This Row],[Day]],"0"),Log[[#This Row],[Day]])</f>
        <v>2</v>
      </c>
      <c r="N380" s="40" t="str">
        <f>_xlfn.XLOOKUP(Log[[#This Row],[Exercise]],Exercises[Exercise],Exercises[Category],"Ukendt",0)</f>
        <v>Compound</v>
      </c>
      <c r="O380" s="40" t="str">
        <f>_xlfn.XLOOKUP(Log[[#This Row],[Exercise]],Table5[Exercise],Table5[Primary],"Ukendt",0)</f>
        <v>Ukendt</v>
      </c>
    </row>
    <row r="381" spans="1:15">
      <c r="A381" s="19" t="s">
        <v>1183</v>
      </c>
      <c r="B381" s="21" t="s">
        <v>46</v>
      </c>
      <c r="C381" s="21" t="s">
        <v>115</v>
      </c>
      <c r="D381" s="21">
        <v>2</v>
      </c>
      <c r="E381" s="23">
        <v>145</v>
      </c>
      <c r="F381" s="23">
        <v>160</v>
      </c>
      <c r="G381" s="23">
        <v>12</v>
      </c>
      <c r="H381" s="23">
        <v>12</v>
      </c>
      <c r="I381" s="24" t="s">
        <v>1180</v>
      </c>
      <c r="J381" s="27" t="s">
        <v>1184</v>
      </c>
      <c r="K381" s="23">
        <v>3</v>
      </c>
      <c r="L381" s="23" t="s">
        <v>1185</v>
      </c>
      <c r="M381" s="40" t="str">
        <f>IF(ISNUMBER(Log[[#This Row],[Day]]),TEXT(Log[[#This Row],[Day]],"0"),Log[[#This Row],[Day]])</f>
        <v>2</v>
      </c>
      <c r="N381" s="40" t="str">
        <f>_xlfn.XLOOKUP(Log[[#This Row],[Exercise]],Exercises[Exercise],Exercises[Category],"Ukendt",0)</f>
        <v>Isolation</v>
      </c>
      <c r="O381" s="40" t="str">
        <f>_xlfn.XLOOKUP(Log[[#This Row],[Exercise]],Table5[Exercise],Table5[Primary],"Ukendt",0)</f>
        <v>Lår</v>
      </c>
    </row>
    <row r="382" spans="1:15">
      <c r="A382" s="19" t="s">
        <v>1186</v>
      </c>
      <c r="B382" s="21" t="s">
        <v>21</v>
      </c>
      <c r="C382" s="21" t="s">
        <v>97</v>
      </c>
      <c r="D382" s="21">
        <v>2</v>
      </c>
      <c r="E382" s="23">
        <v>0</v>
      </c>
      <c r="F382" s="23">
        <v>0</v>
      </c>
      <c r="G382" s="23">
        <v>16</v>
      </c>
      <c r="H382" s="23">
        <v>16</v>
      </c>
      <c r="I382" s="24" t="s">
        <v>1180</v>
      </c>
      <c r="J382" s="27" t="s">
        <v>1187</v>
      </c>
      <c r="K382" s="23">
        <v>3</v>
      </c>
      <c r="L382" s="23" t="s">
        <v>1188</v>
      </c>
      <c r="M382" s="40" t="str">
        <f>IF(ISNUMBER(Log[[#This Row],[Day]]),TEXT(Log[[#This Row],[Day]],"0"),Log[[#This Row],[Day]])</f>
        <v>2</v>
      </c>
      <c r="N382" s="40" t="str">
        <f>_xlfn.XLOOKUP(Log[[#This Row],[Exercise]],Exercises[Exercise],Exercises[Category],"Ukendt",0)</f>
        <v>Core</v>
      </c>
      <c r="O382" s="40" t="str">
        <f>_xlfn.XLOOKUP(Log[[#This Row],[Exercise]],Table5[Exercise],Table5[Primary],"Ukendt",0)</f>
        <v>Mave</v>
      </c>
    </row>
    <row r="383" spans="1:15">
      <c r="A383" s="19" t="s">
        <v>1189</v>
      </c>
      <c r="B383" s="21" t="s">
        <v>56</v>
      </c>
      <c r="C383" s="21" t="s">
        <v>190</v>
      </c>
      <c r="D383" s="21">
        <v>2</v>
      </c>
      <c r="E383" s="23">
        <v>60</v>
      </c>
      <c r="F383" s="23">
        <v>60</v>
      </c>
      <c r="G383" s="23">
        <v>12</v>
      </c>
      <c r="H383" s="23">
        <v>12</v>
      </c>
      <c r="I383" s="24" t="s">
        <v>1180</v>
      </c>
      <c r="J383" s="27" t="s">
        <v>1190</v>
      </c>
      <c r="K383" s="23">
        <v>3</v>
      </c>
      <c r="L383" s="23" t="s">
        <v>1191</v>
      </c>
      <c r="M383" s="40" t="str">
        <f>IF(ISNUMBER(Log[[#This Row],[Day]]),TEXT(Log[[#This Row],[Day]],"0"),Log[[#This Row],[Day]])</f>
        <v>2</v>
      </c>
      <c r="N383" s="40" t="str">
        <f>_xlfn.XLOOKUP(Log[[#This Row],[Exercise]],Exercises[Exercise],Exercises[Category],"Ukendt",0)</f>
        <v>Isolation</v>
      </c>
      <c r="O383" s="40" t="str">
        <f>_xlfn.XLOOKUP(Log[[#This Row],[Exercise]],Table5[Exercise],Table5[Primary],"Ukendt",0)</f>
        <v>Ukendt</v>
      </c>
    </row>
    <row r="384" spans="1:15">
      <c r="A384" s="19" t="s">
        <v>1192</v>
      </c>
      <c r="B384" s="21" t="s">
        <v>56</v>
      </c>
      <c r="C384" s="21" t="s">
        <v>131</v>
      </c>
      <c r="D384" s="21">
        <v>2</v>
      </c>
      <c r="E384" s="23">
        <v>90</v>
      </c>
      <c r="F384" s="23">
        <v>90</v>
      </c>
      <c r="G384" s="23">
        <v>12</v>
      </c>
      <c r="H384" s="23">
        <v>12</v>
      </c>
      <c r="I384" s="24" t="s">
        <v>1180</v>
      </c>
      <c r="J384" s="27" t="s">
        <v>1193</v>
      </c>
      <c r="K384" s="23">
        <v>3</v>
      </c>
      <c r="L384" s="23" t="s">
        <v>1194</v>
      </c>
      <c r="M384" s="40" t="str">
        <f>IF(ISNUMBER(Log[[#This Row],[Day]]),TEXT(Log[[#This Row],[Day]],"0"),Log[[#This Row],[Day]])</f>
        <v>2</v>
      </c>
      <c r="N384" s="40" t="str">
        <f>_xlfn.XLOOKUP(Log[[#This Row],[Exercise]],Exercises[Exercise],Exercises[Category],"Ukendt",0)</f>
        <v>Isolation</v>
      </c>
      <c r="O384" s="40" t="str">
        <f>_xlfn.XLOOKUP(Log[[#This Row],[Exercise]],Table5[Exercise],Table5[Primary],"Ukendt",0)</f>
        <v>Ukendt</v>
      </c>
    </row>
    <row r="385" spans="1:15">
      <c r="A385" s="19" t="s">
        <v>1195</v>
      </c>
      <c r="B385" s="21" t="s">
        <v>56</v>
      </c>
      <c r="C385" s="21" t="s">
        <v>71</v>
      </c>
      <c r="D385" s="21">
        <v>2</v>
      </c>
      <c r="E385" s="23">
        <v>60</v>
      </c>
      <c r="F385" s="23">
        <v>60</v>
      </c>
      <c r="G385" s="23">
        <v>11</v>
      </c>
      <c r="H385" s="23">
        <v>11</v>
      </c>
      <c r="I385" s="24" t="s">
        <v>1180</v>
      </c>
      <c r="J385" s="27" t="s">
        <v>1196</v>
      </c>
      <c r="K385" s="23">
        <v>3</v>
      </c>
      <c r="L385" s="23" t="s">
        <v>1197</v>
      </c>
      <c r="M385" s="40" t="str">
        <f>IF(ISNUMBER(Log[[#This Row],[Day]]),TEXT(Log[[#This Row],[Day]],"0"),Log[[#This Row],[Day]])</f>
        <v>2</v>
      </c>
      <c r="N385" s="40" t="str">
        <f>_xlfn.XLOOKUP(Log[[#This Row],[Exercise]],Exercises[Exercise],Exercises[Category],"Ukendt",0)</f>
        <v>Isolation</v>
      </c>
      <c r="O385" s="40" t="str">
        <f>_xlfn.XLOOKUP(Log[[#This Row],[Exercise]],Table5[Exercise],Table5[Primary],"Ukendt",0)</f>
        <v>Biceps</v>
      </c>
    </row>
    <row r="386" spans="1:15">
      <c r="A386" s="19" t="s">
        <v>1198</v>
      </c>
      <c r="B386" s="21" t="s">
        <v>56</v>
      </c>
      <c r="C386" s="21" t="s">
        <v>206</v>
      </c>
      <c r="D386" s="21">
        <v>1</v>
      </c>
      <c r="E386" s="23">
        <v>70</v>
      </c>
      <c r="F386" s="23">
        <v>70</v>
      </c>
      <c r="G386" s="23">
        <v>10</v>
      </c>
      <c r="H386" s="23">
        <v>10</v>
      </c>
      <c r="I386" s="24" t="s">
        <v>1180</v>
      </c>
      <c r="J386" s="27" t="s">
        <v>1199</v>
      </c>
      <c r="K386" s="23">
        <v>3</v>
      </c>
      <c r="L386" s="23" t="s">
        <v>1200</v>
      </c>
      <c r="M386" s="40" t="str">
        <f>IF(ISNUMBER(Log[[#This Row],[Day]]),TEXT(Log[[#This Row],[Day]],"0"),Log[[#This Row],[Day]])</f>
        <v>1</v>
      </c>
      <c r="N386" s="40" t="str">
        <f>_xlfn.XLOOKUP(Log[[#This Row],[Exercise]],Exercises[Exercise],Exercises[Category],"Ukendt",0)</f>
        <v>Compound</v>
      </c>
      <c r="O386" s="40" t="str">
        <f>_xlfn.XLOOKUP(Log[[#This Row],[Exercise]],Table5[Exercise],Table5[Primary],"Ukendt",0)</f>
        <v>Ukendt</v>
      </c>
    </row>
    <row r="387" spans="1:15">
      <c r="A387" s="19" t="s">
        <v>1201</v>
      </c>
      <c r="B387" s="21" t="s">
        <v>56</v>
      </c>
      <c r="C387" s="21" t="s">
        <v>150</v>
      </c>
      <c r="D387" s="21">
        <v>2</v>
      </c>
      <c r="E387" s="23">
        <v>30</v>
      </c>
      <c r="F387" s="23">
        <v>30</v>
      </c>
      <c r="G387" s="23">
        <v>12</v>
      </c>
      <c r="H387" s="23">
        <v>12</v>
      </c>
      <c r="I387" s="24" t="s">
        <v>94</v>
      </c>
      <c r="J387" s="27" t="s">
        <v>1202</v>
      </c>
      <c r="K387" s="23">
        <v>3</v>
      </c>
      <c r="L387" s="23" t="s">
        <v>1203</v>
      </c>
      <c r="M387" s="40" t="str">
        <f>IF(ISNUMBER(Log[[#This Row],[Day]]),TEXT(Log[[#This Row],[Day]],"0"),Log[[#This Row],[Day]])</f>
        <v>2</v>
      </c>
      <c r="N387" s="40" t="str">
        <f>_xlfn.XLOOKUP(Log[[#This Row],[Exercise]],Exercises[Exercise],Exercises[Category],"Ukendt",0)</f>
        <v>Isolation</v>
      </c>
      <c r="O387" s="40" t="str">
        <f>_xlfn.XLOOKUP(Log[[#This Row],[Exercise]],Table5[Exercise],Table5[Primary],"Ukendt",0)</f>
        <v>Ukendt</v>
      </c>
    </row>
    <row r="388" spans="1:15">
      <c r="A388" s="19" t="s">
        <v>1204</v>
      </c>
      <c r="B388" s="21" t="s">
        <v>30</v>
      </c>
      <c r="C388" s="21" t="s">
        <v>208</v>
      </c>
      <c r="D388" s="21">
        <v>1</v>
      </c>
      <c r="E388" s="23"/>
      <c r="F388" s="23"/>
      <c r="G388" s="23">
        <v>9</v>
      </c>
      <c r="H388" s="23">
        <v>8</v>
      </c>
      <c r="I388" s="24" t="s">
        <v>94</v>
      </c>
      <c r="J388" s="27" t="s">
        <v>1205</v>
      </c>
      <c r="K388" s="23">
        <v>3</v>
      </c>
      <c r="L388" s="23" t="s">
        <v>1206</v>
      </c>
      <c r="M388" s="40" t="str">
        <f>IF(ISNUMBER(Log[[#This Row],[Day]]),TEXT(Log[[#This Row],[Day]],"0"),Log[[#This Row],[Day]])</f>
        <v>1</v>
      </c>
      <c r="N388" s="40" t="str">
        <f>_xlfn.XLOOKUP(Log[[#This Row],[Exercise]],Exercises[Exercise],Exercises[Category],"Ukendt",0)</f>
        <v>Isolation</v>
      </c>
      <c r="O388" s="40" t="str">
        <f>_xlfn.XLOOKUP(Log[[#This Row],[Exercise]],Table5[Exercise],Table5[Primary],"Ukendt",0)</f>
        <v>Ukendt</v>
      </c>
    </row>
    <row r="389" spans="1:15">
      <c r="A389" s="19" t="s">
        <v>1207</v>
      </c>
      <c r="B389" s="21" t="s">
        <v>46</v>
      </c>
      <c r="C389" s="21" t="s">
        <v>177</v>
      </c>
      <c r="D389" s="21">
        <v>1</v>
      </c>
      <c r="E389" s="23"/>
      <c r="F389" s="23"/>
      <c r="G389" s="23">
        <v>15</v>
      </c>
      <c r="H389" s="23">
        <v>15</v>
      </c>
      <c r="I389" s="24" t="s">
        <v>94</v>
      </c>
      <c r="J389" s="27" t="s">
        <v>1208</v>
      </c>
      <c r="K389" s="23">
        <v>3</v>
      </c>
      <c r="L389" s="23" t="s">
        <v>1209</v>
      </c>
      <c r="M389" s="40" t="str">
        <f>IF(ISNUMBER(Log[[#This Row],[Day]]),TEXT(Log[[#This Row],[Day]],"0"),Log[[#This Row],[Day]])</f>
        <v>1</v>
      </c>
      <c r="N389" s="40" t="str">
        <f>_xlfn.XLOOKUP(Log[[#This Row],[Exercise]],Exercises[Exercise],Exercises[Category],"Ukendt",0)</f>
        <v>Compound</v>
      </c>
      <c r="O389" s="40" t="str">
        <f>_xlfn.XLOOKUP(Log[[#This Row],[Exercise]],Table5[Exercise],Table5[Primary],"Ukendt",0)</f>
        <v>Ukendt</v>
      </c>
    </row>
    <row r="390" spans="1:15">
      <c r="A390" s="19" t="s">
        <v>1210</v>
      </c>
      <c r="B390" s="21" t="s">
        <v>56</v>
      </c>
      <c r="C390" s="21" t="s">
        <v>174</v>
      </c>
      <c r="D390" s="21">
        <v>1</v>
      </c>
      <c r="E390" s="23">
        <v>35</v>
      </c>
      <c r="F390" s="23">
        <v>40</v>
      </c>
      <c r="G390" s="23">
        <v>8</v>
      </c>
      <c r="H390" s="23">
        <v>6</v>
      </c>
      <c r="I390" s="24" t="s">
        <v>94</v>
      </c>
      <c r="J390" s="27" t="s">
        <v>1211</v>
      </c>
      <c r="K390" s="23">
        <v>3</v>
      </c>
      <c r="L390" s="23" t="s">
        <v>1212</v>
      </c>
      <c r="M390" s="40" t="str">
        <f>IF(ISNUMBER(Log[[#This Row],[Day]]),TEXT(Log[[#This Row],[Day]],"0"),Log[[#This Row],[Day]])</f>
        <v>1</v>
      </c>
      <c r="N390" s="40" t="str">
        <f>_xlfn.XLOOKUP(Log[[#This Row],[Exercise]],Exercises[Exercise],Exercises[Category],"Ukendt",0)</f>
        <v>Compound</v>
      </c>
      <c r="O390" s="40" t="str">
        <f>_xlfn.XLOOKUP(Log[[#This Row],[Exercise]],Table5[Exercise],Table5[Primary],"Ukendt",0)</f>
        <v>Ukendt</v>
      </c>
    </row>
    <row r="391" spans="1:15">
      <c r="A391" s="19" t="s">
        <v>1213</v>
      </c>
      <c r="B391" s="21" t="s">
        <v>30</v>
      </c>
      <c r="C391" s="21" t="s">
        <v>41</v>
      </c>
      <c r="D391" s="21">
        <v>1</v>
      </c>
      <c r="E391" s="23">
        <v>70</v>
      </c>
      <c r="F391" s="23">
        <v>60</v>
      </c>
      <c r="G391" s="23">
        <v>5</v>
      </c>
      <c r="H391" s="23">
        <v>12</v>
      </c>
      <c r="I391" s="24" t="s">
        <v>94</v>
      </c>
      <c r="J391" s="27" t="s">
        <v>1214</v>
      </c>
      <c r="K391" s="23">
        <v>3</v>
      </c>
      <c r="L391" s="23" t="s">
        <v>1215</v>
      </c>
      <c r="M391" s="40" t="str">
        <f>IF(ISNUMBER(Log[[#This Row],[Day]]),TEXT(Log[[#This Row],[Day]],"0"),Log[[#This Row],[Day]])</f>
        <v>1</v>
      </c>
      <c r="N391" s="40" t="str">
        <f>_xlfn.XLOOKUP(Log[[#This Row],[Exercise]],Exercises[Exercise],Exercises[Category],"Ukendt",0)</f>
        <v>Compound</v>
      </c>
      <c r="O391" s="40" t="str">
        <f>_xlfn.XLOOKUP(Log[[#This Row],[Exercise]],Table5[Exercise],Table5[Primary],"Ukendt",0)</f>
        <v>Bryst</v>
      </c>
    </row>
    <row r="392" spans="1:15">
      <c r="A392" s="19" t="s">
        <v>1216</v>
      </c>
      <c r="B392" s="21" t="s">
        <v>56</v>
      </c>
      <c r="C392" s="21" t="s">
        <v>92</v>
      </c>
      <c r="D392" s="21" t="s">
        <v>31</v>
      </c>
      <c r="E392" s="23" t="s">
        <v>93</v>
      </c>
      <c r="F392" s="23" t="s">
        <v>93</v>
      </c>
      <c r="G392" s="23">
        <v>20</v>
      </c>
      <c r="H392" s="23">
        <v>20</v>
      </c>
      <c r="I392" s="24" t="s">
        <v>94</v>
      </c>
      <c r="J392" s="27" t="s">
        <v>1217</v>
      </c>
      <c r="K392" s="23">
        <v>3</v>
      </c>
      <c r="L392" s="23" t="s">
        <v>1218</v>
      </c>
      <c r="M392" s="40" t="str">
        <f>IF(ISNUMBER(Log[[#This Row],[Day]]),TEXT(Log[[#This Row],[Day]],"0"),Log[[#This Row],[Day]])</f>
        <v>H</v>
      </c>
      <c r="N392" s="40" t="str">
        <f>_xlfn.XLOOKUP(Log[[#This Row],[Exercise]],Exercises[Exercise],Exercises[Category],"Ukendt",0)</f>
        <v>Isolation</v>
      </c>
      <c r="O392" s="40" t="str">
        <f>_xlfn.XLOOKUP(Log[[#This Row],[Exercise]],Table5[Exercise],Table5[Primary],"Ukendt",0)</f>
        <v>Biceps</v>
      </c>
    </row>
    <row r="393" spans="1:15">
      <c r="A393" s="19" t="s">
        <v>1219</v>
      </c>
      <c r="B393" s="21" t="s">
        <v>21</v>
      </c>
      <c r="C393" s="21" t="s">
        <v>157</v>
      </c>
      <c r="D393" s="21" t="s">
        <v>156</v>
      </c>
      <c r="E393" s="23">
        <v>924</v>
      </c>
      <c r="F393" s="23">
        <v>905</v>
      </c>
      <c r="G393" s="23">
        <v>4</v>
      </c>
      <c r="H393" s="23">
        <v>4</v>
      </c>
      <c r="I393" s="24" t="s">
        <v>116</v>
      </c>
      <c r="J393" s="27" t="s">
        <v>1220</v>
      </c>
      <c r="K393" s="23">
        <v>1</v>
      </c>
      <c r="L393" s="23" t="s">
        <v>1221</v>
      </c>
      <c r="M393" s="40" t="str">
        <f>IF(ISNUMBER(Log[[#This Row],[Day]]),TEXT(Log[[#This Row],[Day]],"0"),Log[[#This Row],[Day]])</f>
        <v>O</v>
      </c>
      <c r="N393" s="40" t="str">
        <f>_xlfn.XLOOKUP(Log[[#This Row],[Exercise]],Exercises[Exercise],Exercises[Category],"Ukendt",0)</f>
        <v>Compound</v>
      </c>
      <c r="O393" s="40" t="str">
        <f>_xlfn.XLOOKUP(Log[[#This Row],[Exercise]],Table5[Exercise],Table5[Primary],"Ukendt",0)</f>
        <v>Ukendt</v>
      </c>
    </row>
    <row r="394" spans="1:15">
      <c r="A394" s="19" t="s">
        <v>1222</v>
      </c>
      <c r="B394" s="21" t="s">
        <v>46</v>
      </c>
      <c r="C394" s="21" t="s">
        <v>79</v>
      </c>
      <c r="D394" s="21">
        <v>1</v>
      </c>
      <c r="E394" s="23">
        <v>20</v>
      </c>
      <c r="F394" s="23">
        <v>20</v>
      </c>
      <c r="G394" s="23">
        <v>20</v>
      </c>
      <c r="H394" s="23">
        <v>20</v>
      </c>
      <c r="I394" s="24" t="s">
        <v>116</v>
      </c>
      <c r="J394" s="27" t="s">
        <v>1223</v>
      </c>
      <c r="K394" s="23">
        <v>3</v>
      </c>
      <c r="L394" s="23" t="s">
        <v>1224</v>
      </c>
      <c r="M394" s="40" t="str">
        <f>IF(ISNUMBER(Log[[#This Row],[Day]]),TEXT(Log[[#This Row],[Day]],"0"),Log[[#This Row],[Day]])</f>
        <v>1</v>
      </c>
      <c r="N394" s="40" t="str">
        <f>_xlfn.XLOOKUP(Log[[#This Row],[Exercise]],Exercises[Exercise],Exercises[Category],"Ukendt",0)</f>
        <v>Compound</v>
      </c>
      <c r="O394" s="40" t="str">
        <f>_xlfn.XLOOKUP(Log[[#This Row],[Exercise]],Table5[Exercise],Table5[Primary],"Ukendt",0)</f>
        <v>Lår</v>
      </c>
    </row>
    <row r="395" spans="1:15">
      <c r="A395" s="19" t="s">
        <v>1222</v>
      </c>
      <c r="B395" s="21" t="s">
        <v>21</v>
      </c>
      <c r="C395" s="21" t="s">
        <v>97</v>
      </c>
      <c r="D395" s="21">
        <v>2</v>
      </c>
      <c r="E395" s="23">
        <v>0</v>
      </c>
      <c r="F395" s="23">
        <v>0</v>
      </c>
      <c r="G395" s="23">
        <v>16</v>
      </c>
      <c r="H395" s="23">
        <v>16</v>
      </c>
      <c r="I395" s="24" t="s">
        <v>116</v>
      </c>
      <c r="J395" s="27" t="s">
        <v>1225</v>
      </c>
      <c r="K395" s="23">
        <v>3</v>
      </c>
      <c r="L395" s="23" t="s">
        <v>1226</v>
      </c>
      <c r="M395" s="40" t="str">
        <f>IF(ISNUMBER(Log[[#This Row],[Day]]),TEXT(Log[[#This Row],[Day]],"0"),Log[[#This Row],[Day]])</f>
        <v>2</v>
      </c>
      <c r="N395" s="40" t="str">
        <f>_xlfn.XLOOKUP(Log[[#This Row],[Exercise]],Exercises[Exercise],Exercises[Category],"Ukendt",0)</f>
        <v>Core</v>
      </c>
      <c r="O395" s="40" t="str">
        <f>_xlfn.XLOOKUP(Log[[#This Row],[Exercise]],Table5[Exercise],Table5[Primary],"Ukendt",0)</f>
        <v>Mave</v>
      </c>
    </row>
    <row r="396" spans="1:15">
      <c r="A396" s="19" t="s">
        <v>1227</v>
      </c>
      <c r="B396" s="21" t="s">
        <v>46</v>
      </c>
      <c r="C396" s="21" t="s">
        <v>115</v>
      </c>
      <c r="D396" s="21">
        <v>2</v>
      </c>
      <c r="E396" s="23">
        <v>160</v>
      </c>
      <c r="F396" s="23">
        <v>160</v>
      </c>
      <c r="G396" s="23">
        <v>12</v>
      </c>
      <c r="H396" s="23">
        <v>8</v>
      </c>
      <c r="I396" s="24" t="s">
        <v>116</v>
      </c>
      <c r="J396" s="27" t="s">
        <v>1228</v>
      </c>
      <c r="K396" s="23">
        <v>3</v>
      </c>
      <c r="L396" s="23" t="s">
        <v>1229</v>
      </c>
      <c r="M396" s="40" t="str">
        <f>IF(ISNUMBER(Log[[#This Row],[Day]]),TEXT(Log[[#This Row],[Day]],"0"),Log[[#This Row],[Day]])</f>
        <v>2</v>
      </c>
      <c r="N396" s="40" t="str">
        <f>_xlfn.XLOOKUP(Log[[#This Row],[Exercise]],Exercises[Exercise],Exercises[Category],"Ukendt",0)</f>
        <v>Isolation</v>
      </c>
      <c r="O396" s="40" t="str">
        <f>_xlfn.XLOOKUP(Log[[#This Row],[Exercise]],Table5[Exercise],Table5[Primary],"Ukendt",0)</f>
        <v>Lår</v>
      </c>
    </row>
    <row r="397" spans="1:15">
      <c r="A397" s="19" t="s">
        <v>1230</v>
      </c>
      <c r="B397" s="21" t="s">
        <v>56</v>
      </c>
      <c r="C397" s="21" t="s">
        <v>206</v>
      </c>
      <c r="D397" s="21">
        <v>1</v>
      </c>
      <c r="E397" s="23">
        <v>70</v>
      </c>
      <c r="F397" s="23">
        <v>75</v>
      </c>
      <c r="G397" s="23">
        <v>10</v>
      </c>
      <c r="H397" s="23">
        <v>10</v>
      </c>
      <c r="I397" s="24" t="s">
        <v>116</v>
      </c>
      <c r="J397" s="27" t="s">
        <v>1231</v>
      </c>
      <c r="K397" s="23">
        <v>3</v>
      </c>
      <c r="L397" s="23" t="s">
        <v>1232</v>
      </c>
      <c r="M397" s="40" t="str">
        <f>IF(ISNUMBER(Log[[#This Row],[Day]]),TEXT(Log[[#This Row],[Day]],"0"),Log[[#This Row],[Day]])</f>
        <v>1</v>
      </c>
      <c r="N397" s="40" t="str">
        <f>_xlfn.XLOOKUP(Log[[#This Row],[Exercise]],Exercises[Exercise],Exercises[Category],"Ukendt",0)</f>
        <v>Compound</v>
      </c>
      <c r="O397" s="40" t="str">
        <f>_xlfn.XLOOKUP(Log[[#This Row],[Exercise]],Table5[Exercise],Table5[Primary],"Ukendt",0)</f>
        <v>Ukendt</v>
      </c>
    </row>
    <row r="398" spans="1:15">
      <c r="A398" s="19" t="s">
        <v>1233</v>
      </c>
      <c r="B398" s="21" t="s">
        <v>56</v>
      </c>
      <c r="C398" s="21" t="s">
        <v>143</v>
      </c>
      <c r="D398" s="21">
        <v>1</v>
      </c>
      <c r="E398" s="23">
        <v>0</v>
      </c>
      <c r="F398" s="23">
        <v>0</v>
      </c>
      <c r="G398" s="23">
        <v>6</v>
      </c>
      <c r="H398" s="23">
        <v>6</v>
      </c>
      <c r="I398" s="24" t="s">
        <v>116</v>
      </c>
      <c r="J398" s="27" t="s">
        <v>1234</v>
      </c>
      <c r="K398" s="23">
        <v>3</v>
      </c>
      <c r="L398" s="23" t="s">
        <v>1235</v>
      </c>
      <c r="M398" s="40" t="str">
        <f>IF(ISNUMBER(Log[[#This Row],[Day]]),TEXT(Log[[#This Row],[Day]],"0"),Log[[#This Row],[Day]])</f>
        <v>1</v>
      </c>
      <c r="N398" s="40" t="str">
        <f>_xlfn.XLOOKUP(Log[[#This Row],[Exercise]],Exercises[Exercise],Exercises[Category],"Ukendt",0)</f>
        <v>Compound</v>
      </c>
      <c r="O398" s="40" t="str">
        <f>_xlfn.XLOOKUP(Log[[#This Row],[Exercise]],Table5[Exercise],Table5[Primary],"Ukendt",0)</f>
        <v>Ukendt</v>
      </c>
    </row>
    <row r="399" spans="1:15">
      <c r="A399" s="19" t="s">
        <v>1236</v>
      </c>
      <c r="B399" s="21" t="s">
        <v>30</v>
      </c>
      <c r="C399" s="21" t="s">
        <v>75</v>
      </c>
      <c r="D399" s="21">
        <v>1</v>
      </c>
      <c r="E399" s="23">
        <v>45</v>
      </c>
      <c r="F399" s="23">
        <v>45</v>
      </c>
      <c r="G399" s="23">
        <v>8</v>
      </c>
      <c r="H399" s="23">
        <v>10</v>
      </c>
      <c r="I399" s="24" t="s">
        <v>116</v>
      </c>
      <c r="J399" s="27" t="s">
        <v>1237</v>
      </c>
      <c r="K399" s="23">
        <v>3</v>
      </c>
      <c r="L399" s="23" t="s">
        <v>1238</v>
      </c>
      <c r="M399" s="40" t="str">
        <f>IF(ISNUMBER(Log[[#This Row],[Day]]),TEXT(Log[[#This Row],[Day]],"0"),Log[[#This Row],[Day]])</f>
        <v>1</v>
      </c>
      <c r="N399" s="40" t="str">
        <f>_xlfn.XLOOKUP(Log[[#This Row],[Exercise]],Exercises[Exercise],Exercises[Category],"Ukendt",0)</f>
        <v>Compound</v>
      </c>
      <c r="O399" s="40" t="str">
        <f>_xlfn.XLOOKUP(Log[[#This Row],[Exercise]],Table5[Exercise],Table5[Primary],"Ukendt",0)</f>
        <v>Bryst</v>
      </c>
    </row>
    <row r="400" spans="1:15">
      <c r="A400" s="19" t="s">
        <v>1239</v>
      </c>
      <c r="B400" s="21" t="s">
        <v>56</v>
      </c>
      <c r="C400" s="21" t="s">
        <v>153</v>
      </c>
      <c r="D400" s="21">
        <v>1</v>
      </c>
      <c r="E400" s="23">
        <v>75</v>
      </c>
      <c r="F400" s="23">
        <v>75</v>
      </c>
      <c r="G400" s="23">
        <v>12</v>
      </c>
      <c r="H400" s="23">
        <v>12</v>
      </c>
      <c r="I400" s="24" t="s">
        <v>116</v>
      </c>
      <c r="J400" s="27" t="s">
        <v>1240</v>
      </c>
      <c r="K400" s="23">
        <v>3</v>
      </c>
      <c r="L400" s="23" t="s">
        <v>1241</v>
      </c>
      <c r="M400" s="40" t="str">
        <f>IF(ISNUMBER(Log[[#This Row],[Day]]),TEXT(Log[[#This Row],[Day]],"0"),Log[[#This Row],[Day]])</f>
        <v>1</v>
      </c>
      <c r="N400" s="40" t="str">
        <f>_xlfn.XLOOKUP(Log[[#This Row],[Exercise]],Exercises[Exercise],Exercises[Category],"Ukendt",0)</f>
        <v>Stabilization</v>
      </c>
      <c r="O400" s="40" t="str">
        <f>_xlfn.XLOOKUP(Log[[#This Row],[Exercise]],Table5[Exercise],Table5[Primary],"Ukendt",0)</f>
        <v>Ukendt</v>
      </c>
    </row>
    <row r="401" spans="1:15">
      <c r="A401" s="19" t="s">
        <v>1239</v>
      </c>
      <c r="B401" s="21" t="s">
        <v>46</v>
      </c>
      <c r="C401" s="21" t="s">
        <v>177</v>
      </c>
      <c r="D401" s="21">
        <v>1</v>
      </c>
      <c r="E401" s="23"/>
      <c r="F401" s="23"/>
      <c r="G401" s="23">
        <v>15</v>
      </c>
      <c r="H401" s="23">
        <v>15</v>
      </c>
      <c r="I401" s="24" t="s">
        <v>116</v>
      </c>
      <c r="J401" s="27" t="s">
        <v>1242</v>
      </c>
      <c r="K401" s="23">
        <v>3</v>
      </c>
      <c r="L401" s="23" t="s">
        <v>1243</v>
      </c>
      <c r="M401" s="40" t="str">
        <f>IF(ISNUMBER(Log[[#This Row],[Day]]),TEXT(Log[[#This Row],[Day]],"0"),Log[[#This Row],[Day]])</f>
        <v>1</v>
      </c>
      <c r="N401" s="40" t="str">
        <f>_xlfn.XLOOKUP(Log[[#This Row],[Exercise]],Exercises[Exercise],Exercises[Category],"Ukendt",0)</f>
        <v>Compound</v>
      </c>
      <c r="O401" s="40" t="str">
        <f>_xlfn.XLOOKUP(Log[[#This Row],[Exercise]],Table5[Exercise],Table5[Primary],"Ukendt",0)</f>
        <v>Ukendt</v>
      </c>
    </row>
    <row r="402" spans="1:15">
      <c r="A402" s="19" t="s">
        <v>1244</v>
      </c>
      <c r="B402" s="21" t="s">
        <v>30</v>
      </c>
      <c r="C402" s="21" t="s">
        <v>215</v>
      </c>
      <c r="D402" s="21">
        <v>9</v>
      </c>
      <c r="E402" s="23">
        <v>60</v>
      </c>
      <c r="F402" s="23">
        <v>60</v>
      </c>
      <c r="G402" s="23">
        <v>6</v>
      </c>
      <c r="H402" s="23">
        <v>6</v>
      </c>
      <c r="I402" s="24" t="s">
        <v>37</v>
      </c>
      <c r="J402" s="27" t="s">
        <v>1245</v>
      </c>
      <c r="K402" s="23">
        <v>3</v>
      </c>
      <c r="L402" s="23" t="s">
        <v>1246</v>
      </c>
      <c r="M402" s="40" t="str">
        <f>IF(ISNUMBER(Log[[#This Row],[Day]]),TEXT(Log[[#This Row],[Day]],"0"),Log[[#This Row],[Day]])</f>
        <v>9</v>
      </c>
      <c r="N402" s="40" t="str">
        <f>_xlfn.XLOOKUP(Log[[#This Row],[Exercise]],Exercises[Exercise],Exercises[Category],"Ukendt",0)</f>
        <v>Compound</v>
      </c>
      <c r="O402" s="40" t="str">
        <f>_xlfn.XLOOKUP(Log[[#This Row],[Exercise]],Table5[Exercise],Table5[Primary],"Ukendt",0)</f>
        <v>Ukendt</v>
      </c>
    </row>
    <row r="403" spans="1:15">
      <c r="A403" s="19" t="s">
        <v>1247</v>
      </c>
      <c r="B403" s="21" t="s">
        <v>56</v>
      </c>
      <c r="C403" s="21" t="s">
        <v>174</v>
      </c>
      <c r="D403" s="21">
        <v>1</v>
      </c>
      <c r="E403" s="23">
        <v>40</v>
      </c>
      <c r="F403" s="23">
        <v>40</v>
      </c>
      <c r="G403" s="23">
        <v>6</v>
      </c>
      <c r="H403" s="23">
        <v>6</v>
      </c>
      <c r="I403" s="24" t="s">
        <v>37</v>
      </c>
      <c r="J403" s="27" t="s">
        <v>1248</v>
      </c>
      <c r="K403" s="23">
        <v>3</v>
      </c>
      <c r="L403" s="23" t="s">
        <v>1249</v>
      </c>
      <c r="M403" s="40" t="str">
        <f>IF(ISNUMBER(Log[[#This Row],[Day]]),TEXT(Log[[#This Row],[Day]],"0"),Log[[#This Row],[Day]])</f>
        <v>1</v>
      </c>
      <c r="N403" s="40" t="str">
        <f>_xlfn.XLOOKUP(Log[[#This Row],[Exercise]],Exercises[Exercise],Exercises[Category],"Ukendt",0)</f>
        <v>Compound</v>
      </c>
      <c r="O403" s="40" t="str">
        <f>_xlfn.XLOOKUP(Log[[#This Row],[Exercise]],Table5[Exercise],Table5[Primary],"Ukendt",0)</f>
        <v>Ukendt</v>
      </c>
    </row>
    <row r="404" spans="1:15">
      <c r="A404" s="19" t="s">
        <v>1250</v>
      </c>
      <c r="B404" s="21" t="s">
        <v>30</v>
      </c>
      <c r="C404" s="21" t="s">
        <v>208</v>
      </c>
      <c r="D404" s="21">
        <v>1</v>
      </c>
      <c r="E404" s="23"/>
      <c r="F404" s="23"/>
      <c r="G404" s="23">
        <v>8</v>
      </c>
      <c r="H404" s="23">
        <v>6</v>
      </c>
      <c r="I404" s="24" t="s">
        <v>37</v>
      </c>
      <c r="J404" s="27" t="s">
        <v>1251</v>
      </c>
      <c r="K404" s="23">
        <v>3</v>
      </c>
      <c r="L404" s="23" t="s">
        <v>1252</v>
      </c>
      <c r="M404" s="40" t="str">
        <f>IF(ISNUMBER(Log[[#This Row],[Day]]),TEXT(Log[[#This Row],[Day]],"0"),Log[[#This Row],[Day]])</f>
        <v>1</v>
      </c>
      <c r="N404" s="40" t="str">
        <f>_xlfn.XLOOKUP(Log[[#This Row],[Exercise]],Exercises[Exercise],Exercises[Category],"Ukendt",0)</f>
        <v>Isolation</v>
      </c>
      <c r="O404" s="40" t="str">
        <f>_xlfn.XLOOKUP(Log[[#This Row],[Exercise]],Table5[Exercise],Table5[Primary],"Ukendt",0)</f>
        <v>Ukendt</v>
      </c>
    </row>
    <row r="405" spans="1:15">
      <c r="A405" s="19" t="s">
        <v>1253</v>
      </c>
      <c r="B405" s="21" t="s">
        <v>30</v>
      </c>
      <c r="C405" s="21" t="s">
        <v>35</v>
      </c>
      <c r="D405" s="21">
        <v>1</v>
      </c>
      <c r="E405" s="23">
        <v>0</v>
      </c>
      <c r="F405" s="23">
        <v>0</v>
      </c>
      <c r="G405" s="23">
        <v>12</v>
      </c>
      <c r="H405" s="23">
        <v>12</v>
      </c>
      <c r="I405" s="24" t="s">
        <v>37</v>
      </c>
      <c r="J405" s="27" t="s">
        <v>1254</v>
      </c>
      <c r="K405" s="23">
        <v>3</v>
      </c>
      <c r="L405" s="23" t="s">
        <v>1255</v>
      </c>
      <c r="M405" s="40" t="str">
        <f>IF(ISNUMBER(Log[[#This Row],[Day]]),TEXT(Log[[#This Row],[Day]],"0"),Log[[#This Row],[Day]])</f>
        <v>1</v>
      </c>
      <c r="N405" s="40" t="str">
        <f>_xlfn.XLOOKUP(Log[[#This Row],[Exercise]],Exercises[Exercise],Exercises[Category],"Ukendt",0)</f>
        <v>Compound</v>
      </c>
      <c r="O405" s="40" t="str">
        <f>_xlfn.XLOOKUP(Log[[#This Row],[Exercise]],Table5[Exercise],Table5[Primary],"Ukendt",0)</f>
        <v>Triceps</v>
      </c>
    </row>
    <row r="406" spans="1:15">
      <c r="A406" s="19" t="s">
        <v>1256</v>
      </c>
      <c r="B406" s="21" t="s">
        <v>56</v>
      </c>
      <c r="C406" s="21" t="s">
        <v>131</v>
      </c>
      <c r="D406" s="21">
        <v>2</v>
      </c>
      <c r="E406" s="23">
        <v>90</v>
      </c>
      <c r="F406" s="23">
        <v>90</v>
      </c>
      <c r="G406" s="23">
        <v>12</v>
      </c>
      <c r="H406" s="23">
        <v>10</v>
      </c>
      <c r="I406" s="24" t="s">
        <v>68</v>
      </c>
      <c r="J406" s="27" t="s">
        <v>1257</v>
      </c>
      <c r="K406" s="23">
        <v>3</v>
      </c>
      <c r="L406" s="23" t="s">
        <v>1258</v>
      </c>
      <c r="M406" s="40" t="str">
        <f>IF(ISNUMBER(Log[[#This Row],[Day]]),TEXT(Log[[#This Row],[Day]],"0"),Log[[#This Row],[Day]])</f>
        <v>2</v>
      </c>
      <c r="N406" s="40" t="str">
        <f>_xlfn.XLOOKUP(Log[[#This Row],[Exercise]],Exercises[Exercise],Exercises[Category],"Ukendt",0)</f>
        <v>Isolation</v>
      </c>
      <c r="O406" s="40" t="str">
        <f>_xlfn.XLOOKUP(Log[[#This Row],[Exercise]],Table5[Exercise],Table5[Primary],"Ukendt",0)</f>
        <v>Ukendt</v>
      </c>
    </row>
    <row r="407" spans="1:15">
      <c r="A407" s="19" t="s">
        <v>1259</v>
      </c>
      <c r="B407" s="21" t="s">
        <v>56</v>
      </c>
      <c r="C407" s="21" t="s">
        <v>190</v>
      </c>
      <c r="D407" s="21">
        <v>2</v>
      </c>
      <c r="E407" s="23">
        <v>60</v>
      </c>
      <c r="F407" s="23">
        <v>60</v>
      </c>
      <c r="G407" s="23">
        <v>12</v>
      </c>
      <c r="H407" s="23">
        <v>12</v>
      </c>
      <c r="I407" s="24" t="s">
        <v>68</v>
      </c>
      <c r="J407" s="27" t="s">
        <v>1260</v>
      </c>
      <c r="K407" s="23">
        <v>3</v>
      </c>
      <c r="L407" s="23" t="s">
        <v>1261</v>
      </c>
      <c r="M407" s="40" t="str">
        <f>IF(ISNUMBER(Log[[#This Row],[Day]]),TEXT(Log[[#This Row],[Day]],"0"),Log[[#This Row],[Day]])</f>
        <v>2</v>
      </c>
      <c r="N407" s="40" t="str">
        <f>_xlfn.XLOOKUP(Log[[#This Row],[Exercise]],Exercises[Exercise],Exercises[Category],"Ukendt",0)</f>
        <v>Isolation</v>
      </c>
      <c r="O407" s="40" t="str">
        <f>_xlfn.XLOOKUP(Log[[#This Row],[Exercise]],Table5[Exercise],Table5[Primary],"Ukendt",0)</f>
        <v>Ukendt</v>
      </c>
    </row>
    <row r="408" spans="1:15">
      <c r="A408" s="19" t="s">
        <v>1262</v>
      </c>
      <c r="B408" s="21" t="s">
        <v>56</v>
      </c>
      <c r="C408" s="21" t="s">
        <v>71</v>
      </c>
      <c r="D408" s="21">
        <v>2</v>
      </c>
      <c r="E408" s="23">
        <v>60</v>
      </c>
      <c r="F408" s="23">
        <v>60</v>
      </c>
      <c r="G408" s="23">
        <v>11</v>
      </c>
      <c r="H408" s="23">
        <v>11</v>
      </c>
      <c r="I408" s="24" t="s">
        <v>68</v>
      </c>
      <c r="J408" s="27" t="s">
        <v>1263</v>
      </c>
      <c r="K408" s="23">
        <v>3</v>
      </c>
      <c r="L408" s="23" t="s">
        <v>1264</v>
      </c>
      <c r="M408" s="40" t="str">
        <f>IF(ISNUMBER(Log[[#This Row],[Day]]),TEXT(Log[[#This Row],[Day]],"0"),Log[[#This Row],[Day]])</f>
        <v>2</v>
      </c>
      <c r="N408" s="40" t="str">
        <f>_xlfn.XLOOKUP(Log[[#This Row],[Exercise]],Exercises[Exercise],Exercises[Category],"Ukendt",0)</f>
        <v>Isolation</v>
      </c>
      <c r="O408" s="40" t="str">
        <f>_xlfn.XLOOKUP(Log[[#This Row],[Exercise]],Table5[Exercise],Table5[Primary],"Ukendt",0)</f>
        <v>Biceps</v>
      </c>
    </row>
    <row r="409" spans="1:15">
      <c r="A409" s="19" t="s">
        <v>1265</v>
      </c>
      <c r="B409" s="21" t="s">
        <v>21</v>
      </c>
      <c r="C409" s="21" t="s">
        <v>67</v>
      </c>
      <c r="D409" s="21">
        <v>1</v>
      </c>
      <c r="E409" s="23">
        <v>25</v>
      </c>
      <c r="F409" s="23">
        <v>30</v>
      </c>
      <c r="G409" s="23">
        <v>12</v>
      </c>
      <c r="H409" s="23">
        <v>12</v>
      </c>
      <c r="I409" s="24" t="s">
        <v>68</v>
      </c>
      <c r="J409" s="27" t="s">
        <v>1266</v>
      </c>
      <c r="K409" s="23">
        <v>3</v>
      </c>
      <c r="L409" s="23" t="s">
        <v>1267</v>
      </c>
      <c r="M409" s="40" t="str">
        <f>IF(ISNUMBER(Log[[#This Row],[Day]]),TEXT(Log[[#This Row],[Day]],"0"),Log[[#This Row],[Day]])</f>
        <v>1</v>
      </c>
      <c r="N409" s="40" t="str">
        <f>_xlfn.XLOOKUP(Log[[#This Row],[Exercise]],Exercises[Exercise],Exercises[Category],"Ukendt",0)</f>
        <v>Compound</v>
      </c>
      <c r="O409" s="40" t="str">
        <f>_xlfn.XLOOKUP(Log[[#This Row],[Exercise]],Table5[Exercise],Table5[Primary],"Ukendt",0)</f>
        <v>Core</v>
      </c>
    </row>
    <row r="410" spans="1:15">
      <c r="A410" s="19" t="s">
        <v>1265</v>
      </c>
      <c r="B410" s="21" t="s">
        <v>46</v>
      </c>
      <c r="C410" s="21" t="s">
        <v>177</v>
      </c>
      <c r="D410" s="21">
        <v>3</v>
      </c>
      <c r="E410" s="23"/>
      <c r="F410" s="23"/>
      <c r="G410" s="23">
        <v>15</v>
      </c>
      <c r="H410" s="23">
        <v>15</v>
      </c>
      <c r="I410" s="24" t="s">
        <v>68</v>
      </c>
      <c r="J410" s="27" t="s">
        <v>1268</v>
      </c>
      <c r="K410" s="23">
        <v>3</v>
      </c>
      <c r="L410" s="23" t="s">
        <v>1269</v>
      </c>
      <c r="M410" s="40" t="str">
        <f>IF(ISNUMBER(Log[[#This Row],[Day]]),TEXT(Log[[#This Row],[Day]],"0"),Log[[#This Row],[Day]])</f>
        <v>3</v>
      </c>
      <c r="N410" s="40" t="str">
        <f>_xlfn.XLOOKUP(Log[[#This Row],[Exercise]],Exercises[Exercise],Exercises[Category],"Ukendt",0)</f>
        <v>Compound</v>
      </c>
      <c r="O410" s="40" t="str">
        <f>_xlfn.XLOOKUP(Log[[#This Row],[Exercise]],Table5[Exercise],Table5[Primary],"Ukendt",0)</f>
        <v>Ukendt</v>
      </c>
    </row>
    <row r="411" spans="1:15">
      <c r="A411" s="19" t="s">
        <v>1270</v>
      </c>
      <c r="B411" s="21" t="s">
        <v>56</v>
      </c>
      <c r="C411" s="21" t="s">
        <v>153</v>
      </c>
      <c r="D411" s="21">
        <v>1</v>
      </c>
      <c r="E411" s="23">
        <v>75</v>
      </c>
      <c r="F411" s="23">
        <v>75</v>
      </c>
      <c r="G411" s="23">
        <v>12</v>
      </c>
      <c r="H411" s="23">
        <v>12</v>
      </c>
      <c r="I411" s="24" t="s">
        <v>68</v>
      </c>
      <c r="J411" s="27" t="s">
        <v>1271</v>
      </c>
      <c r="K411" s="23">
        <v>3</v>
      </c>
      <c r="L411" s="23" t="s">
        <v>1272</v>
      </c>
      <c r="M411" s="40" t="str">
        <f>IF(ISNUMBER(Log[[#This Row],[Day]]),TEXT(Log[[#This Row],[Day]],"0"),Log[[#This Row],[Day]])</f>
        <v>1</v>
      </c>
      <c r="N411" s="40" t="str">
        <f>_xlfn.XLOOKUP(Log[[#This Row],[Exercise]],Exercises[Exercise],Exercises[Category],"Ukendt",0)</f>
        <v>Stabilization</v>
      </c>
      <c r="O411" s="40" t="str">
        <f>_xlfn.XLOOKUP(Log[[#This Row],[Exercise]],Table5[Exercise],Table5[Primary],"Ukendt",0)</f>
        <v>Ukendt</v>
      </c>
    </row>
    <row r="412" spans="1:15">
      <c r="A412" s="19" t="s">
        <v>1273</v>
      </c>
      <c r="B412" s="21" t="s">
        <v>30</v>
      </c>
      <c r="C412" s="21" t="s">
        <v>212</v>
      </c>
      <c r="D412" s="21">
        <v>2</v>
      </c>
      <c r="E412" s="23">
        <v>20</v>
      </c>
      <c r="F412" s="23">
        <v>20</v>
      </c>
      <c r="G412" s="23">
        <v>8</v>
      </c>
      <c r="H412" s="23">
        <v>8</v>
      </c>
      <c r="I412" s="24" t="s">
        <v>68</v>
      </c>
      <c r="J412" s="27" t="s">
        <v>1274</v>
      </c>
      <c r="K412" s="23">
        <v>3</v>
      </c>
      <c r="L412" s="23" t="s">
        <v>1275</v>
      </c>
      <c r="M412" s="40" t="str">
        <f>IF(ISNUMBER(Log[[#This Row],[Day]]),TEXT(Log[[#This Row],[Day]],"0"),Log[[#This Row],[Day]])</f>
        <v>2</v>
      </c>
      <c r="N412" s="40" t="str">
        <f>_xlfn.XLOOKUP(Log[[#This Row],[Exercise]],Exercises[Exercise],Exercises[Category],"Ukendt",0)</f>
        <v>Compound</v>
      </c>
      <c r="O412" s="40" t="str">
        <f>_xlfn.XLOOKUP(Log[[#This Row],[Exercise]],Table5[Exercise],Table5[Primary],"Ukendt",0)</f>
        <v>Ukendt</v>
      </c>
    </row>
    <row r="413" spans="1:15">
      <c r="A413" s="19" t="s">
        <v>1276</v>
      </c>
      <c r="B413" s="21" t="s">
        <v>46</v>
      </c>
      <c r="C413" s="21" t="s">
        <v>79</v>
      </c>
      <c r="D413" s="21">
        <v>1</v>
      </c>
      <c r="E413" s="23">
        <v>20</v>
      </c>
      <c r="F413" s="23">
        <v>20</v>
      </c>
      <c r="G413" s="23">
        <v>20</v>
      </c>
      <c r="H413" s="23">
        <v>20</v>
      </c>
      <c r="I413" s="24" t="s">
        <v>68</v>
      </c>
      <c r="J413" s="27" t="s">
        <v>1277</v>
      </c>
      <c r="K413" s="23">
        <v>3</v>
      </c>
      <c r="L413" s="23" t="s">
        <v>1278</v>
      </c>
      <c r="M413" s="40" t="str">
        <f>IF(ISNUMBER(Log[[#This Row],[Day]]),TEXT(Log[[#This Row],[Day]],"0"),Log[[#This Row],[Day]])</f>
        <v>1</v>
      </c>
      <c r="N413" s="40" t="str">
        <f>_xlfn.XLOOKUP(Log[[#This Row],[Exercise]],Exercises[Exercise],Exercises[Category],"Ukendt",0)</f>
        <v>Compound</v>
      </c>
      <c r="O413" s="40" t="str">
        <f>_xlfn.XLOOKUP(Log[[#This Row],[Exercise]],Table5[Exercise],Table5[Primary],"Ukendt",0)</f>
        <v>Lår</v>
      </c>
    </row>
    <row r="414" spans="1:15">
      <c r="A414" s="19" t="s">
        <v>1279</v>
      </c>
      <c r="B414" s="21" t="s">
        <v>30</v>
      </c>
      <c r="C414" s="21" t="s">
        <v>201</v>
      </c>
      <c r="D414" s="21">
        <v>1</v>
      </c>
      <c r="E414" s="23">
        <v>60</v>
      </c>
      <c r="F414" s="23">
        <v>60</v>
      </c>
      <c r="G414" s="23">
        <v>12</v>
      </c>
      <c r="H414" s="23">
        <v>12</v>
      </c>
      <c r="I414" s="24" t="s">
        <v>76</v>
      </c>
      <c r="J414" s="27" t="s">
        <v>1280</v>
      </c>
      <c r="K414" s="23">
        <v>3</v>
      </c>
      <c r="L414" s="23" t="s">
        <v>1281</v>
      </c>
      <c r="M414" s="40" t="str">
        <f>IF(ISNUMBER(Log[[#This Row],[Day]]),TEXT(Log[[#This Row],[Day]],"0"),Log[[#This Row],[Day]])</f>
        <v>1</v>
      </c>
      <c r="N414" s="40" t="str">
        <f>_xlfn.XLOOKUP(Log[[#This Row],[Exercise]],Exercises[Exercise],Exercises[Category],"Ukendt",0)</f>
        <v>Isolation</v>
      </c>
      <c r="O414" s="40" t="str">
        <f>_xlfn.XLOOKUP(Log[[#This Row],[Exercise]],Table5[Exercise],Table5[Primary],"Ukendt",0)</f>
        <v>Ukendt</v>
      </c>
    </row>
    <row r="415" spans="1:15">
      <c r="A415" s="19" t="s">
        <v>1282</v>
      </c>
      <c r="B415" s="21" t="s">
        <v>30</v>
      </c>
      <c r="C415" s="21" t="s">
        <v>111</v>
      </c>
      <c r="D415" s="21">
        <v>1</v>
      </c>
      <c r="E415" s="23">
        <v>8</v>
      </c>
      <c r="F415" s="23">
        <v>8</v>
      </c>
      <c r="G415" s="23">
        <v>12</v>
      </c>
      <c r="H415" s="23">
        <v>12</v>
      </c>
      <c r="I415" s="24" t="s">
        <v>76</v>
      </c>
      <c r="J415" s="27" t="s">
        <v>1283</v>
      </c>
      <c r="K415" s="23">
        <v>3</v>
      </c>
      <c r="L415" s="23" t="s">
        <v>1284</v>
      </c>
      <c r="M415" s="40" t="str">
        <f>IF(ISNUMBER(Log[[#This Row],[Day]]),TEXT(Log[[#This Row],[Day]],"0"),Log[[#This Row],[Day]])</f>
        <v>1</v>
      </c>
      <c r="N415" s="40" t="str">
        <f>_xlfn.XLOOKUP(Log[[#This Row],[Exercise]],Exercises[Exercise],Exercises[Category],"Ukendt",0)</f>
        <v>Stabilization</v>
      </c>
      <c r="O415" s="40" t="str">
        <f>_xlfn.XLOOKUP(Log[[#This Row],[Exercise]],Table5[Exercise],Table5[Primary],"Ukendt",0)</f>
        <v>Skulder</v>
      </c>
    </row>
    <row r="416" spans="1:15">
      <c r="A416" s="19" t="s">
        <v>1282</v>
      </c>
      <c r="B416" s="21" t="s">
        <v>30</v>
      </c>
      <c r="C416" s="21" t="s">
        <v>75</v>
      </c>
      <c r="D416" s="21">
        <v>1</v>
      </c>
      <c r="E416" s="23">
        <v>45</v>
      </c>
      <c r="F416" s="23">
        <v>40</v>
      </c>
      <c r="G416" s="23">
        <v>10</v>
      </c>
      <c r="H416" s="23">
        <v>10</v>
      </c>
      <c r="I416" s="24" t="s">
        <v>76</v>
      </c>
      <c r="J416" s="27" t="s">
        <v>1285</v>
      </c>
      <c r="K416" s="23">
        <v>3</v>
      </c>
      <c r="L416" s="23" t="s">
        <v>1286</v>
      </c>
      <c r="M416" s="40" t="str">
        <f>IF(ISNUMBER(Log[[#This Row],[Day]]),TEXT(Log[[#This Row],[Day]],"0"),Log[[#This Row],[Day]])</f>
        <v>1</v>
      </c>
      <c r="N416" s="40" t="str">
        <f>_xlfn.XLOOKUP(Log[[#This Row],[Exercise]],Exercises[Exercise],Exercises[Category],"Ukendt",0)</f>
        <v>Compound</v>
      </c>
      <c r="O416" s="40" t="str">
        <f>_xlfn.XLOOKUP(Log[[#This Row],[Exercise]],Table5[Exercise],Table5[Primary],"Ukendt",0)</f>
        <v>Bryst</v>
      </c>
    </row>
    <row r="417" spans="1:15">
      <c r="A417" s="19" t="s">
        <v>1287</v>
      </c>
      <c r="B417" s="21" t="s">
        <v>56</v>
      </c>
      <c r="C417" s="21" t="s">
        <v>160</v>
      </c>
      <c r="D417" s="21">
        <v>1</v>
      </c>
      <c r="E417" s="23">
        <v>85</v>
      </c>
      <c r="F417" s="23">
        <v>85</v>
      </c>
      <c r="G417" s="23">
        <v>12</v>
      </c>
      <c r="H417" s="23">
        <v>12</v>
      </c>
      <c r="I417" s="24" t="s">
        <v>161</v>
      </c>
      <c r="J417" s="27" t="s">
        <v>1288</v>
      </c>
      <c r="K417" s="23">
        <v>3</v>
      </c>
      <c r="L417" s="23" t="s">
        <v>1289</v>
      </c>
      <c r="M417" s="40" t="str">
        <f>IF(ISNUMBER(Log[[#This Row],[Day]]),TEXT(Log[[#This Row],[Day]],"0"),Log[[#This Row],[Day]])</f>
        <v>1</v>
      </c>
      <c r="N417" s="40" t="str">
        <f>_xlfn.XLOOKUP(Log[[#This Row],[Exercise]],Exercises[Exercise],Exercises[Category],"Ukendt",0)</f>
        <v>Compound</v>
      </c>
      <c r="O417" s="40" t="str">
        <f>_xlfn.XLOOKUP(Log[[#This Row],[Exercise]],Table5[Exercise],Table5[Primary],"Ukendt",0)</f>
        <v>Ukendt</v>
      </c>
    </row>
    <row r="418" spans="1:15">
      <c r="A418" s="19" t="s">
        <v>1290</v>
      </c>
      <c r="B418" s="21" t="s">
        <v>46</v>
      </c>
      <c r="C418" s="21" t="s">
        <v>177</v>
      </c>
      <c r="D418" s="21">
        <v>3</v>
      </c>
      <c r="E418" s="23"/>
      <c r="F418" s="23"/>
      <c r="G418" s="23">
        <v>15</v>
      </c>
      <c r="H418" s="23">
        <v>15</v>
      </c>
      <c r="I418" s="24" t="s">
        <v>161</v>
      </c>
      <c r="J418" s="27" t="s">
        <v>1291</v>
      </c>
      <c r="K418" s="23">
        <v>3</v>
      </c>
      <c r="L418" s="23" t="s">
        <v>1292</v>
      </c>
      <c r="M418" s="40" t="str">
        <f>IF(ISNUMBER(Log[[#This Row],[Day]]),TEXT(Log[[#This Row],[Day]],"0"),Log[[#This Row],[Day]])</f>
        <v>3</v>
      </c>
      <c r="N418" s="40" t="str">
        <f>_xlfn.XLOOKUP(Log[[#This Row],[Exercise]],Exercises[Exercise],Exercises[Category],"Ukendt",0)</f>
        <v>Compound</v>
      </c>
      <c r="O418" s="40" t="str">
        <f>_xlfn.XLOOKUP(Log[[#This Row],[Exercise]],Table5[Exercise],Table5[Primary],"Ukendt",0)</f>
        <v>Ukendt</v>
      </c>
    </row>
    <row r="419" spans="1:15">
      <c r="A419" s="19" t="s">
        <v>1293</v>
      </c>
      <c r="B419" s="21" t="s">
        <v>30</v>
      </c>
      <c r="C419" s="21" t="s">
        <v>41</v>
      </c>
      <c r="D419" s="21">
        <v>1</v>
      </c>
      <c r="E419" s="23">
        <v>60</v>
      </c>
      <c r="F419" s="23">
        <v>60</v>
      </c>
      <c r="G419" s="23">
        <v>12</v>
      </c>
      <c r="H419" s="23">
        <v>10</v>
      </c>
      <c r="I419" s="24" t="s">
        <v>42</v>
      </c>
      <c r="J419" s="27" t="s">
        <v>1294</v>
      </c>
      <c r="K419" s="23">
        <v>3</v>
      </c>
      <c r="L419" s="23" t="s">
        <v>1295</v>
      </c>
      <c r="M419" s="40" t="str">
        <f>IF(ISNUMBER(Log[[#This Row],[Day]]),TEXT(Log[[#This Row],[Day]],"0"),Log[[#This Row],[Day]])</f>
        <v>1</v>
      </c>
      <c r="N419" s="40" t="str">
        <f>_xlfn.XLOOKUP(Log[[#This Row],[Exercise]],Exercises[Exercise],Exercises[Category],"Ukendt",0)</f>
        <v>Compound</v>
      </c>
      <c r="O419" s="40" t="str">
        <f>_xlfn.XLOOKUP(Log[[#This Row],[Exercise]],Table5[Exercise],Table5[Primary],"Ukendt",0)</f>
        <v>Bryst</v>
      </c>
    </row>
    <row r="420" spans="1:15">
      <c r="A420" s="19" t="s">
        <v>1296</v>
      </c>
      <c r="B420" s="21" t="s">
        <v>21</v>
      </c>
      <c r="C420" s="21" t="s">
        <v>97</v>
      </c>
      <c r="D420" s="21">
        <v>2</v>
      </c>
      <c r="E420" s="23">
        <v>0</v>
      </c>
      <c r="F420" s="23">
        <v>0</v>
      </c>
      <c r="G420" s="23">
        <v>16</v>
      </c>
      <c r="H420" s="23">
        <v>10</v>
      </c>
      <c r="I420" s="24" t="s">
        <v>42</v>
      </c>
      <c r="J420" s="27" t="s">
        <v>1297</v>
      </c>
      <c r="K420" s="23">
        <v>3</v>
      </c>
      <c r="L420" s="23" t="s">
        <v>1298</v>
      </c>
      <c r="M420" s="40" t="str">
        <f>IF(ISNUMBER(Log[[#This Row],[Day]]),TEXT(Log[[#This Row],[Day]],"0"),Log[[#This Row],[Day]])</f>
        <v>2</v>
      </c>
      <c r="N420" s="40" t="str">
        <f>_xlfn.XLOOKUP(Log[[#This Row],[Exercise]],Exercises[Exercise],Exercises[Category],"Ukendt",0)</f>
        <v>Core</v>
      </c>
      <c r="O420" s="40" t="str">
        <f>_xlfn.XLOOKUP(Log[[#This Row],[Exercise]],Table5[Exercise],Table5[Primary],"Ukendt",0)</f>
        <v>Mave</v>
      </c>
    </row>
    <row r="421" spans="1:15">
      <c r="A421" s="19" t="s">
        <v>1296</v>
      </c>
      <c r="B421" s="21" t="s">
        <v>46</v>
      </c>
      <c r="C421" s="21" t="s">
        <v>181</v>
      </c>
      <c r="D421" s="21">
        <v>1</v>
      </c>
      <c r="E421" s="23">
        <v>70</v>
      </c>
      <c r="F421" s="23">
        <v>60</v>
      </c>
      <c r="G421" s="23">
        <v>10</v>
      </c>
      <c r="H421" s="23">
        <v>10</v>
      </c>
      <c r="I421" s="24" t="s">
        <v>42</v>
      </c>
      <c r="J421" s="27" t="s">
        <v>1299</v>
      </c>
      <c r="K421" s="23">
        <v>3</v>
      </c>
      <c r="L421" s="23" t="s">
        <v>1300</v>
      </c>
      <c r="M421" s="40" t="str">
        <f>IF(ISNUMBER(Log[[#This Row],[Day]]),TEXT(Log[[#This Row],[Day]],"0"),Log[[#This Row],[Day]])</f>
        <v>1</v>
      </c>
      <c r="N421" s="40" t="str">
        <f>_xlfn.XLOOKUP(Log[[#This Row],[Exercise]],Exercises[Exercise],Exercises[Category],"Ukendt",0)</f>
        <v>Compound</v>
      </c>
      <c r="O421" s="40" t="str">
        <f>_xlfn.XLOOKUP(Log[[#This Row],[Exercise]],Table5[Exercise],Table5[Primary],"Ukendt",0)</f>
        <v>Ukendt</v>
      </c>
    </row>
    <row r="422" spans="1:15">
      <c r="A422" s="19" t="s">
        <v>1301</v>
      </c>
      <c r="B422" s="21" t="s">
        <v>56</v>
      </c>
      <c r="C422" s="21" t="s">
        <v>143</v>
      </c>
      <c r="D422" s="21">
        <v>1</v>
      </c>
      <c r="E422" s="23">
        <v>0</v>
      </c>
      <c r="F422" s="23">
        <v>0</v>
      </c>
      <c r="G422" s="23">
        <v>6</v>
      </c>
      <c r="H422" s="23">
        <v>6</v>
      </c>
      <c r="I422" s="24" t="s">
        <v>42</v>
      </c>
      <c r="J422" s="27" t="s">
        <v>1302</v>
      </c>
      <c r="K422" s="23">
        <v>3</v>
      </c>
      <c r="L422" s="23" t="s">
        <v>1303</v>
      </c>
      <c r="M422" s="40" t="str">
        <f>IF(ISNUMBER(Log[[#This Row],[Day]]),TEXT(Log[[#This Row],[Day]],"0"),Log[[#This Row],[Day]])</f>
        <v>1</v>
      </c>
      <c r="N422" s="40" t="str">
        <f>_xlfn.XLOOKUP(Log[[#This Row],[Exercise]],Exercises[Exercise],Exercises[Category],"Ukendt",0)</f>
        <v>Compound</v>
      </c>
      <c r="O422" s="40" t="str">
        <f>_xlfn.XLOOKUP(Log[[#This Row],[Exercise]],Table5[Exercise],Table5[Primary],"Ukendt",0)</f>
        <v>Ukendt</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B7EB-0FF0-4BE9-BCC0-BCCDE1BC26E7}">
  <dimension ref="A1:A5"/>
  <sheetViews>
    <sheetView workbookViewId="0">
      <selection activeCell="D9" sqref="D9"/>
    </sheetView>
  </sheetViews>
  <sheetFormatPr defaultRowHeight="15"/>
  <sheetData>
    <row r="1" spans="1:1">
      <c r="A1" t="s">
        <v>2</v>
      </c>
    </row>
    <row r="2" spans="1:1">
      <c r="A2" t="s">
        <v>56</v>
      </c>
    </row>
    <row r="3" spans="1:1">
      <c r="A3" t="s">
        <v>30</v>
      </c>
    </row>
    <row r="4" spans="1:1">
      <c r="A4" t="s">
        <v>46</v>
      </c>
    </row>
    <row r="5" spans="1:1">
      <c r="A5" t="s">
        <v>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F636C-DB2C-4657-BB2D-8E94D9FE6790}">
  <dimension ref="A1:B21"/>
  <sheetViews>
    <sheetView topLeftCell="A4" workbookViewId="0">
      <selection activeCell="B7" sqref="B7"/>
    </sheetView>
  </sheetViews>
  <sheetFormatPr defaultRowHeight="15"/>
  <cols>
    <col min="1" max="1" width="41.140625" bestFit="1" customWidth="1"/>
    <col min="2" max="2" width="15.42578125" bestFit="1" customWidth="1"/>
  </cols>
  <sheetData>
    <row r="1" spans="1:2">
      <c r="A1" t="s">
        <v>5</v>
      </c>
      <c r="B1" t="s">
        <v>16</v>
      </c>
    </row>
    <row r="2" spans="1:2">
      <c r="A2" t="s">
        <v>24</v>
      </c>
      <c r="B2" t="s">
        <v>1304</v>
      </c>
    </row>
    <row r="3" spans="1:2">
      <c r="A3" t="s">
        <v>32</v>
      </c>
      <c r="B3" t="s">
        <v>1305</v>
      </c>
    </row>
    <row r="4" spans="1:2">
      <c r="A4" t="s">
        <v>35</v>
      </c>
      <c r="B4" t="s">
        <v>1306</v>
      </c>
    </row>
    <row r="5" spans="1:2">
      <c r="A5" t="s">
        <v>41</v>
      </c>
      <c r="B5" t="s">
        <v>1305</v>
      </c>
    </row>
    <row r="6" spans="1:2">
      <c r="A6" t="s">
        <v>48</v>
      </c>
      <c r="B6" t="s">
        <v>1307</v>
      </c>
    </row>
    <row r="7" spans="1:2">
      <c r="A7" t="s">
        <v>52</v>
      </c>
      <c r="B7" t="s">
        <v>1304</v>
      </c>
    </row>
    <row r="8" spans="1:2">
      <c r="A8" t="s">
        <v>59</v>
      </c>
      <c r="B8" t="s">
        <v>1308</v>
      </c>
    </row>
    <row r="9" spans="1:2">
      <c r="A9" t="s">
        <v>63</v>
      </c>
      <c r="B9" t="s">
        <v>1308</v>
      </c>
    </row>
    <row r="10" spans="1:2">
      <c r="A10" t="s">
        <v>67</v>
      </c>
      <c r="B10" t="s">
        <v>21</v>
      </c>
    </row>
    <row r="11" spans="1:2">
      <c r="A11" t="s">
        <v>71</v>
      </c>
      <c r="B11" t="s">
        <v>220</v>
      </c>
    </row>
    <row r="12" spans="1:2">
      <c r="A12" t="s">
        <v>75</v>
      </c>
      <c r="B12" t="s">
        <v>1305</v>
      </c>
    </row>
    <row r="13" spans="1:2">
      <c r="A13" t="s">
        <v>79</v>
      </c>
      <c r="B13" t="s">
        <v>1307</v>
      </c>
    </row>
    <row r="14" spans="1:2">
      <c r="A14" t="s">
        <v>83</v>
      </c>
      <c r="B14" t="s">
        <v>1309</v>
      </c>
    </row>
    <row r="15" spans="1:2">
      <c r="A15" t="s">
        <v>88</v>
      </c>
      <c r="B15" t="s">
        <v>21</v>
      </c>
    </row>
    <row r="16" spans="1:2">
      <c r="A16" t="s">
        <v>92</v>
      </c>
      <c r="B16" t="s">
        <v>220</v>
      </c>
    </row>
    <row r="17" spans="1:2">
      <c r="A17" t="s">
        <v>97</v>
      </c>
      <c r="B17" t="s">
        <v>1304</v>
      </c>
    </row>
    <row r="18" spans="1:2">
      <c r="A18" t="s">
        <v>102</v>
      </c>
      <c r="B18" t="s">
        <v>1305</v>
      </c>
    </row>
    <row r="19" spans="1:2">
      <c r="A19" t="s">
        <v>106</v>
      </c>
      <c r="B19" t="s">
        <v>220</v>
      </c>
    </row>
    <row r="20" spans="1:2">
      <c r="A20" t="s">
        <v>111</v>
      </c>
      <c r="B20" t="s">
        <v>1310</v>
      </c>
    </row>
    <row r="21" spans="1:2">
      <c r="A21" t="s">
        <v>115</v>
      </c>
      <c r="B21" t="s">
        <v>1307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FF27-2CFD-4556-A77D-ED85D9F59293}">
  <dimension ref="A2:B8"/>
  <sheetViews>
    <sheetView showGridLines="0" workbookViewId="0">
      <selection activeCell="A13" sqref="A13"/>
    </sheetView>
  </sheetViews>
  <sheetFormatPr defaultRowHeight="15"/>
  <cols>
    <col min="1" max="1" width="12.42578125" bestFit="1" customWidth="1"/>
    <col min="2" max="2" width="26.7109375" bestFit="1" customWidth="1"/>
  </cols>
  <sheetData>
    <row r="2" spans="1:2">
      <c r="A2" s="33" t="s">
        <v>5</v>
      </c>
      <c r="B2" t="s">
        <v>174</v>
      </c>
    </row>
    <row r="4" spans="1:2">
      <c r="A4" s="33" t="s">
        <v>225</v>
      </c>
      <c r="B4" t="s">
        <v>1311</v>
      </c>
    </row>
    <row r="5" spans="1:2">
      <c r="A5" t="s">
        <v>231</v>
      </c>
      <c r="B5" s="2">
        <v>25</v>
      </c>
    </row>
    <row r="6" spans="1:2">
      <c r="A6" t="s">
        <v>507</v>
      </c>
      <c r="B6" s="2" t="e">
        <v>#DIV/0!</v>
      </c>
    </row>
    <row r="7" spans="1:2">
      <c r="A7" t="s">
        <v>680</v>
      </c>
      <c r="B7" s="2" t="e">
        <v>#DIV/0!</v>
      </c>
    </row>
    <row r="8" spans="1:2">
      <c r="A8" t="s">
        <v>1312</v>
      </c>
      <c r="B8" s="2">
        <v>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99C49-D985-40CC-ADE5-49610855DF8E}">
  <dimension ref="A1:U407"/>
  <sheetViews>
    <sheetView workbookViewId="0">
      <pane ySplit="1" topLeftCell="A2" activePane="bottomLeft" state="frozen"/>
      <selection pane="bottomLeft" activeCell="G11" sqref="G11"/>
    </sheetView>
  </sheetViews>
  <sheetFormatPr defaultRowHeight="15"/>
  <cols>
    <col min="1" max="1" width="48.28515625" bestFit="1" customWidth="1"/>
    <col min="2" max="2" width="13.28515625" bestFit="1" customWidth="1"/>
    <col min="3" max="3" width="16.85546875" bestFit="1" customWidth="1"/>
    <col min="4" max="4" width="5.5703125" bestFit="1" customWidth="1"/>
    <col min="5" max="5" width="28.5703125" bestFit="1" customWidth="1"/>
    <col min="6" max="6" width="12.28515625" bestFit="1" customWidth="1"/>
    <col min="7" max="7" width="6.140625" bestFit="1" customWidth="1"/>
    <col min="10" max="10" width="14.85546875" customWidth="1"/>
    <col min="13" max="13" width="9.85546875" bestFit="1" customWidth="1"/>
    <col min="14" max="14" width="20.7109375" bestFit="1" customWidth="1"/>
    <col min="15" max="15" width="6.42578125" bestFit="1" customWidth="1"/>
    <col min="16" max="16" width="7.42578125" bestFit="1" customWidth="1"/>
    <col min="17" max="17" width="6.140625" bestFit="1" customWidth="1"/>
    <col min="18" max="18" width="7.28515625" bestFit="1" customWidth="1"/>
    <col min="19" max="19" width="7.7109375" bestFit="1" customWidth="1"/>
    <col min="20" max="21" width="11.7109375" bestFit="1" customWidth="1"/>
  </cols>
  <sheetData>
    <row r="1" spans="1:21" ht="21">
      <c r="A1" s="44" t="s">
        <v>1313</v>
      </c>
      <c r="B1" s="44"/>
      <c r="C1" s="44"/>
      <c r="D1" s="44"/>
      <c r="E1" s="44"/>
      <c r="F1" s="44"/>
      <c r="G1" s="44"/>
      <c r="H1" s="44"/>
      <c r="M1" s="45" t="s">
        <v>1314</v>
      </c>
      <c r="N1" s="45"/>
      <c r="O1" s="45"/>
      <c r="P1" s="45"/>
      <c r="Q1" s="45"/>
      <c r="R1" s="45"/>
      <c r="S1" s="45"/>
      <c r="T1" s="45"/>
      <c r="U1" s="45"/>
    </row>
    <row r="2" spans="1:21">
      <c r="J2" t="s">
        <v>1315</v>
      </c>
    </row>
    <row r="3" spans="1:21">
      <c r="A3" s="36" t="s">
        <v>1316</v>
      </c>
      <c r="E3" s="36" t="s">
        <v>1317</v>
      </c>
      <c r="J3" s="39" t="s">
        <v>1318</v>
      </c>
      <c r="K3" s="39" t="s">
        <v>1319</v>
      </c>
      <c r="M3" t="s">
        <v>1320</v>
      </c>
      <c r="N3" t="s">
        <v>1321</v>
      </c>
      <c r="O3" t="s">
        <v>56</v>
      </c>
      <c r="P3" t="s">
        <v>30</v>
      </c>
      <c r="Q3" t="s">
        <v>46</v>
      </c>
      <c r="R3" t="s">
        <v>21</v>
      </c>
      <c r="S3" t="s">
        <v>1322</v>
      </c>
      <c r="T3" t="s">
        <v>1323</v>
      </c>
      <c r="U3" t="s">
        <v>1324</v>
      </c>
    </row>
    <row r="4" spans="1:21">
      <c r="A4" s="37" t="s">
        <v>2</v>
      </c>
      <c r="B4" s="37" t="s">
        <v>1325</v>
      </c>
      <c r="C4" s="37" t="s">
        <v>1326</v>
      </c>
      <c r="E4" s="36" t="s">
        <v>1327</v>
      </c>
      <c r="F4" s="2">
        <f>SUM(B5:B8)</f>
        <v>420</v>
      </c>
      <c r="J4" t="str" cm="1">
        <f t="array" ref="J4">_xlfn.XLOOKUP(INDEX(Log[Exercise],ROWS($J$4:J4)),Exercises[Exercise],Exercises[Category],"Ukendt")</f>
        <v>Compound</v>
      </c>
      <c r="K4">
        <v>1</v>
      </c>
      <c r="M4">
        <v>1</v>
      </c>
      <c r="N4" t="s">
        <v>1328</v>
      </c>
      <c r="O4" s="2">
        <f>COUNTIFS(Log[DagKey],DagFordeling[[#This Row],[DayKey]],Log[Type],"Pull")</f>
        <v>47</v>
      </c>
      <c r="P4" s="2">
        <f>COUNTIFS(Log[DagKey],DagFordeling[[#This Row],[DayKey]],Log[Type],"Push")</f>
        <v>74</v>
      </c>
      <c r="Q4" s="2">
        <f>COUNTIFS(Log[DagKey],DagFordeling[[#This Row],[DayKey]],Log[Type],"Leg")</f>
        <v>20</v>
      </c>
      <c r="R4" s="2">
        <f>COUNTIFS(Log[DagKey],DagFordeling[[#This Row],[DayKey]],Log[Type],"Core")</f>
        <v>4</v>
      </c>
      <c r="S4" s="2">
        <f>SUM(DagFordeling[[#This Row],[Pull]],DagFordeling[[#This Row],[Push]],DagFordeling[[#This Row],[Leg]],DagFordeling[[#This Row],[Core]])</f>
        <v>145</v>
      </c>
      <c r="T4" s="38">
        <f>IFERROR(DagFordeling[[#This Row],[Leg]]/DagFordeling[[#This Row],[Total]],0)</f>
        <v>0.13793103448275862</v>
      </c>
      <c r="U4" s="1">
        <f>IFERROR(DagFordeling[[#This Row],[Push]]/DagFordeling[[#This Row],[Pull]],0)</f>
        <v>1.574468085106383</v>
      </c>
    </row>
    <row r="5" spans="1:21">
      <c r="A5" t="s">
        <v>56</v>
      </c>
      <c r="B5" s="2">
        <f>COUNTIF(Log[Type],A5)</f>
        <v>147</v>
      </c>
      <c r="C5" s="38">
        <f>IFERROR(B5/SUM($B$5:$B$8),0)</f>
        <v>0.35</v>
      </c>
      <c r="E5" s="36" t="s">
        <v>1329</v>
      </c>
      <c r="F5">
        <f>IFERROR(B6/B5,"-")</f>
        <v>0.72108843537414968</v>
      </c>
      <c r="J5" t="str" cm="1">
        <f t="array" ref="J5">_xlfn.XLOOKUP(INDEX(Log[Exercise],ROWS($J$4:J5)),Exercises[Exercise],Exercises[Category],"Ukendt")</f>
        <v>Stabilization</v>
      </c>
      <c r="K5">
        <v>1</v>
      </c>
      <c r="M5">
        <v>2</v>
      </c>
      <c r="N5" t="s">
        <v>1330</v>
      </c>
      <c r="O5" s="2">
        <f>COUNTIFS(Log[DagKey],DagFordeling[[#This Row],[DayKey]],Log[Type],"Pull")</f>
        <v>66</v>
      </c>
      <c r="P5" s="2">
        <f>COUNTIFS(Log[DagKey],DagFordeling[[#This Row],[DayKey]],Log[Type],"Push")</f>
        <v>5</v>
      </c>
      <c r="Q5" s="2">
        <f>COUNTIFS(Log[DagKey],DagFordeling[[#This Row],[DayKey]],Log[Type],"Leg")</f>
        <v>15</v>
      </c>
      <c r="R5" s="2">
        <f>COUNTIFS(Log[DagKey],DagFordeling[[#This Row],[DayKey]],Log[Type],"Core")</f>
        <v>13</v>
      </c>
      <c r="S5" s="2">
        <f>SUM(DagFordeling[[#This Row],[Pull]],DagFordeling[[#This Row],[Push]],DagFordeling[[#This Row],[Leg]],DagFordeling[[#This Row],[Core]])</f>
        <v>99</v>
      </c>
      <c r="T5" s="38">
        <f>IFERROR(DagFordeling[[#This Row],[Leg]]/DagFordeling[[#This Row],[Total]],0)</f>
        <v>0.15151515151515152</v>
      </c>
      <c r="U5" s="1">
        <f>IFERROR(DagFordeling[[#This Row],[Push]]/DagFordeling[[#This Row],[Pull]],0)</f>
        <v>7.575757575757576E-2</v>
      </c>
    </row>
    <row r="6" spans="1:21">
      <c r="A6" t="s">
        <v>30</v>
      </c>
      <c r="B6" s="2">
        <f>COUNTIF(Log[Type],A6)</f>
        <v>106</v>
      </c>
      <c r="C6" s="38">
        <f>IFERROR(B6/SUM($B$5:$B$8),0)</f>
        <v>0.25238095238095237</v>
      </c>
      <c r="E6" s="36" t="s">
        <v>1323</v>
      </c>
      <c r="F6" s="38">
        <f>IFERROR(B7/F4,0)</f>
        <v>0.17857142857142858</v>
      </c>
      <c r="J6" t="str" cm="1">
        <f t="array" ref="J6">_xlfn.XLOOKUP(INDEX(Log[Exercise],ROWS($J$4:J6)),Exercises[Exercise],Exercises[Category],"Ukendt")</f>
        <v>Isolation</v>
      </c>
      <c r="K6">
        <v>1</v>
      </c>
      <c r="M6">
        <v>3</v>
      </c>
      <c r="N6" t="s">
        <v>1331</v>
      </c>
      <c r="O6" s="2">
        <f>COUNTIFS(Log[DagKey],DagFordeling[[#This Row],[DayKey]],Log[Type],"Pull")</f>
        <v>0</v>
      </c>
      <c r="P6" s="2">
        <f>COUNTIFS(Log[DagKey],DagFordeling[[#This Row],[DayKey]],Log[Type],"Push")</f>
        <v>0</v>
      </c>
      <c r="Q6" s="2">
        <f>COUNTIFS(Log[DagKey],DagFordeling[[#This Row],[DayKey]],Log[Type],"Leg")</f>
        <v>32</v>
      </c>
      <c r="R6" s="2">
        <f>COUNTIFS(Log[DagKey],DagFordeling[[#This Row],[DayKey]],Log[Type],"Core")</f>
        <v>19</v>
      </c>
      <c r="S6" s="2">
        <f>SUM(DagFordeling[[#This Row],[Pull]],DagFordeling[[#This Row],[Push]],DagFordeling[[#This Row],[Leg]],DagFordeling[[#This Row],[Core]])</f>
        <v>51</v>
      </c>
      <c r="T6" s="38">
        <f>IFERROR(DagFordeling[[#This Row],[Leg]]/DagFordeling[[#This Row],[Total]],0)</f>
        <v>0.62745098039215685</v>
      </c>
      <c r="U6" s="1">
        <f>IFERROR(DagFordeling[[#This Row],[Push]]/DagFordeling[[#This Row],[Pull]],0)</f>
        <v>0</v>
      </c>
    </row>
    <row r="7" spans="1:21">
      <c r="A7" t="s">
        <v>46</v>
      </c>
      <c r="B7" s="2">
        <f>COUNTIF(Log[Type],A7)</f>
        <v>75</v>
      </c>
      <c r="C7" s="38">
        <f>IFERROR(B7/SUM($B$5:$B$8),0)</f>
        <v>0.17857142857142858</v>
      </c>
      <c r="E7" s="36" t="s">
        <v>1332</v>
      </c>
      <c r="F7" s="38">
        <f>IFERROR(B8/F4,0)</f>
        <v>0.21904761904761905</v>
      </c>
      <c r="J7" t="str" cm="1">
        <f t="array" ref="J7">_xlfn.XLOOKUP(INDEX(Log[Exercise],ROWS($J$4:J7)),Exercises[Exercise],Exercises[Category],"Ukendt")</f>
        <v>Core</v>
      </c>
      <c r="K7">
        <v>1</v>
      </c>
      <c r="M7" t="s">
        <v>31</v>
      </c>
      <c r="N7" t="s">
        <v>1333</v>
      </c>
      <c r="O7" s="2">
        <f>COUNTIFS(Log[DagKey],DagFordeling[[#This Row],[DayKey]],Log[Type],"Pull")</f>
        <v>15</v>
      </c>
      <c r="P7" s="2">
        <f>COUNTIFS(Log[DagKey],DagFordeling[[#This Row],[DayKey]],Log[Type],"Push")</f>
        <v>7</v>
      </c>
      <c r="Q7" s="2">
        <f>COUNTIFS(Log[DagKey],DagFordeling[[#This Row],[DayKey]],Log[Type],"Leg")</f>
        <v>0</v>
      </c>
      <c r="R7" s="2">
        <f>COUNTIFS(Log[DagKey],DagFordeling[[#This Row],[DayKey]],Log[Type],"Core")</f>
        <v>14</v>
      </c>
      <c r="S7" s="2">
        <f>SUM(DagFordeling[[#This Row],[Pull]],DagFordeling[[#This Row],[Push]],DagFordeling[[#This Row],[Leg]],DagFordeling[[#This Row],[Core]])</f>
        <v>36</v>
      </c>
      <c r="T7" s="38">
        <f>IFERROR(DagFordeling[[#This Row],[Leg]]/DagFordeling[[#This Row],[Total]],0)</f>
        <v>0</v>
      </c>
      <c r="U7" s="1">
        <f>IFERROR(DagFordeling[[#This Row],[Push]]/DagFordeling[[#This Row],[Pull]],0)</f>
        <v>0.46666666666666667</v>
      </c>
    </row>
    <row r="8" spans="1:21">
      <c r="A8" t="s">
        <v>21</v>
      </c>
      <c r="B8" s="2">
        <f>COUNTIF(Log[Type],A8)</f>
        <v>92</v>
      </c>
      <c r="C8" s="38">
        <f>IFERROR(B8/SUM($B$5:$B$8),0)</f>
        <v>0.21904761904761905</v>
      </c>
      <c r="E8" s="36" t="s">
        <v>1334</v>
      </c>
      <c r="F8" cm="1">
        <f t="array" ref="F8">SUM(--(_xlfn.XLOOKUP(Log[Exercise],Exercises[Exercise],Exercises[Category],"Ukendt")="Ukendt"))</f>
        <v>1</v>
      </c>
      <c r="J8" t="str" cm="1">
        <f t="array" ref="J8">_xlfn.XLOOKUP(INDEX(Log[Exercise],ROWS($J$4:J8)),Exercises[Exercise],Exercises[Category],"Ukendt")</f>
        <v>Core</v>
      </c>
      <c r="K8">
        <v>1</v>
      </c>
      <c r="M8" t="s">
        <v>156</v>
      </c>
      <c r="N8" t="s">
        <v>1335</v>
      </c>
      <c r="O8" s="2">
        <f>COUNTIFS(Log[DagKey],DagFordeling[[#This Row],[DayKey]],Log[Type],"Pull")</f>
        <v>0</v>
      </c>
      <c r="P8" s="2">
        <f>COUNTIFS(Log[DagKey],DagFordeling[[#This Row],[DayKey]],Log[Type],"Push")</f>
        <v>0</v>
      </c>
      <c r="Q8" s="2">
        <f>COUNTIFS(Log[DagKey],DagFordeling[[#This Row],[DayKey]],Log[Type],"Leg")</f>
        <v>0</v>
      </c>
      <c r="R8" s="2">
        <f>COUNTIFS(Log[DagKey],DagFordeling[[#This Row],[DayKey]],Log[Type],"Core")</f>
        <v>25</v>
      </c>
      <c r="S8" s="2">
        <f>SUM(DagFordeling[[#This Row],[Pull]],DagFordeling[[#This Row],[Push]],DagFordeling[[#This Row],[Leg]],DagFordeling[[#This Row],[Core]])</f>
        <v>25</v>
      </c>
      <c r="T8" s="38">
        <f>IFERROR(DagFordeling[[#This Row],[Leg]]/DagFordeling[[#This Row],[Total]],0)</f>
        <v>0</v>
      </c>
      <c r="U8" s="1">
        <f>IFERROR(DagFordeling[[#This Row],[Push]]/DagFordeling[[#This Row],[Pull]],0)</f>
        <v>0</v>
      </c>
    </row>
    <row r="9" spans="1:21">
      <c r="J9" t="str" cm="1">
        <f t="array" ref="J9">_xlfn.XLOOKUP(INDEX(Log[Exercise],ROWS($J$4:J9)),Exercises[Exercise],Exercises[Category],"Ukendt")</f>
        <v>Core</v>
      </c>
      <c r="K9">
        <v>1</v>
      </c>
      <c r="M9">
        <v>9</v>
      </c>
      <c r="N9" t="s">
        <v>1336</v>
      </c>
      <c r="O9" s="2">
        <f>COUNTIFS(Log[DagKey],DagFordeling[[#This Row],[DayKey]],Log[Type],"Pull")</f>
        <v>3</v>
      </c>
      <c r="P9" s="2">
        <f>COUNTIFS(Log[DagKey],DagFordeling[[#This Row],[DayKey]],Log[Type],"Push")</f>
        <v>7</v>
      </c>
      <c r="Q9" s="2">
        <f>COUNTIFS(Log[DagKey],DagFordeling[[#This Row],[DayKey]],Log[Type],"Leg")</f>
        <v>0</v>
      </c>
      <c r="R9" s="2">
        <f>COUNTIFS(Log[DagKey],DagFordeling[[#This Row],[DayKey]],Log[Type],"Core")</f>
        <v>6</v>
      </c>
      <c r="S9" s="2">
        <f>SUM(DagFordeling[[#This Row],[Pull]],DagFordeling[[#This Row],[Push]],DagFordeling[[#This Row],[Leg]],DagFordeling[[#This Row],[Core]])</f>
        <v>16</v>
      </c>
      <c r="T9" s="38">
        <f>IFERROR(DagFordeling[[#This Row],[Leg]]/DagFordeling[[#This Row],[Total]],0)</f>
        <v>0</v>
      </c>
      <c r="U9" s="1">
        <f>IFERROR(DagFordeling[[#This Row],[Push]]/DagFordeling[[#This Row],[Pull]],0)</f>
        <v>2.3333333333333335</v>
      </c>
    </row>
    <row r="10" spans="1:21">
      <c r="A10" s="36" t="s">
        <v>1337</v>
      </c>
      <c r="E10" s="37" t="s">
        <v>3</v>
      </c>
      <c r="F10" s="37" t="s">
        <v>1325</v>
      </c>
      <c r="G10" s="37" t="s">
        <v>1326</v>
      </c>
      <c r="J10" t="str" cm="1">
        <f t="array" ref="J10">_xlfn.XLOOKUP(INDEX(Log[Exercise],ROWS($J$4:J10)),Exercises[Exercise],Exercises[Category],"Ukendt")</f>
        <v>Isolation</v>
      </c>
      <c r="K10">
        <v>1</v>
      </c>
      <c r="M10">
        <v>0</v>
      </c>
      <c r="N10" t="s">
        <v>1338</v>
      </c>
      <c r="O10" s="2">
        <f>COUNTIFS(Log[DagKey],DagFordeling[[#This Row],[DayKey]],Log[Type],"Pull")</f>
        <v>16</v>
      </c>
      <c r="P10" s="2">
        <f>COUNTIFS(Log[DagKey],DagFordeling[[#This Row],[DayKey]],Log[Type],"Push")</f>
        <v>13</v>
      </c>
      <c r="Q10" s="2">
        <f>COUNTIFS(Log[DagKey],DagFordeling[[#This Row],[DayKey]],Log[Type],"Leg")</f>
        <v>8</v>
      </c>
      <c r="R10" s="2">
        <f>COUNTIFS(Log[DagKey],DagFordeling[[#This Row],[DayKey]],Log[Type],"Core")</f>
        <v>11</v>
      </c>
      <c r="S10" s="2">
        <f>SUM(DagFordeling[[#This Row],[Pull]],DagFordeling[[#This Row],[Push]],DagFordeling[[#This Row],[Leg]],DagFordeling[[#This Row],[Core]])</f>
        <v>48</v>
      </c>
      <c r="T10" s="38">
        <f>IFERROR(DagFordeling[[#This Row],[Leg]]/DagFordeling[[#This Row],[Total]],0)</f>
        <v>0.16666666666666666</v>
      </c>
      <c r="U10" s="1">
        <f>IFERROR(DagFordeling[[#This Row],[Push]]/DagFordeling[[#This Row],[Pull]],0)</f>
        <v>0.8125</v>
      </c>
    </row>
    <row r="11" spans="1:21">
      <c r="A11" s="37" t="s">
        <v>5</v>
      </c>
      <c r="B11" s="37" t="s">
        <v>1339</v>
      </c>
      <c r="C11" s="37" t="s">
        <v>1340</v>
      </c>
      <c r="D11" s="37" t="s">
        <v>1325</v>
      </c>
      <c r="E11" t="s">
        <v>34</v>
      </c>
      <c r="F11">
        <f>COUNTIF($J$4:$J$407,E11)</f>
        <v>207</v>
      </c>
      <c r="G11" s="38">
        <f>IFERROR(F11/SUM($F$11:$F$15),0)</f>
        <v>0.51237623762376239</v>
      </c>
      <c r="J11" t="str" cm="1">
        <f t="array" ref="J11">_xlfn.XLOOKUP(INDEX(Log[Exercise],ROWS($J$4:J11)),Exercises[Exercise],Exercises[Category],"Ukendt")</f>
        <v>Isolation</v>
      </c>
      <c r="K11">
        <v>1</v>
      </c>
    </row>
    <row r="12" spans="1:21">
      <c r="A12" t="str" cm="1">
        <f t="array" ref="A12:D58">_xlfn.LET(_xlpm.ex, _xlfn.UNIQUE(Log[Exercise]), _xlpm.freq, COUNTIF(Log[Exercise], _xlpm.ex), _xlpm.typ, _xlfn.XLOOKUP(_xlpm.ex, Exercises[Exercise], Exercises[Type], "Ukendt"), _xlpm.cat, _xlfn.XLOOKUP(_xlpm.ex, Exercises[Exercise], Exercises[Category], "Ukendt"), _xlpm.tbl, _xlfn.HSTACK(_xlpm.ex, _xlpm.typ, _xlpm.cat, _xlpm.freq), _xlfn.SORTBY(_xlpm.tbl, _xlpm.freq, -1))</f>
        <v>Row machine (in min)</v>
      </c>
      <c r="B12" t="str">
        <v>Core</v>
      </c>
      <c r="C12" t="str">
        <v>Compound</v>
      </c>
      <c r="D12">
        <v>32</v>
      </c>
      <c r="E12" t="s">
        <v>22</v>
      </c>
      <c r="F12">
        <f>COUNTIF($J$4:$J$407,E12)</f>
        <v>118</v>
      </c>
      <c r="G12" s="38">
        <f>IFERROR(F12/SUM($F$11:$F$15),0)</f>
        <v>0.29207920792079206</v>
      </c>
      <c r="J12" t="str" cm="1">
        <f t="array" ref="J12">_xlfn.XLOOKUP(INDEX(Log[Exercise],ROWS($J$4:J12)),Exercises[Exercise],Exercises[Category],"Ukendt")</f>
        <v>Compound</v>
      </c>
      <c r="K12">
        <v>1</v>
      </c>
    </row>
    <row r="13" spans="1:21">
      <c r="A13" t="str">
        <v>Dumbbell squat (With plate)</v>
      </c>
      <c r="B13" t="str">
        <v>Leg</v>
      </c>
      <c r="C13" t="str">
        <v>Compound</v>
      </c>
      <c r="D13">
        <v>21</v>
      </c>
      <c r="E13" t="s">
        <v>57</v>
      </c>
      <c r="F13">
        <f>COUNTIF($J$4:$J$407,E13)</f>
        <v>50</v>
      </c>
      <c r="G13" s="38">
        <f>IFERROR(F13/SUM($F$11:$F$15),0)</f>
        <v>0.12376237623762376</v>
      </c>
      <c r="J13" t="str" cm="1">
        <f t="array" ref="J13">_xlfn.XLOOKUP(INDEX(Log[Exercise],ROWS($J$4:J13)),Exercises[Exercise],Exercises[Category],"Ukendt")</f>
        <v>Compound</v>
      </c>
      <c r="K13">
        <v>1</v>
      </c>
    </row>
    <row r="14" spans="1:21">
      <c r="A14" t="str">
        <v>Rope Face Pulls</v>
      </c>
      <c r="B14" t="str">
        <v>Pull</v>
      </c>
      <c r="C14" t="str">
        <v>Stabilization</v>
      </c>
      <c r="D14">
        <v>19</v>
      </c>
      <c r="E14" t="s">
        <v>21</v>
      </c>
      <c r="F14">
        <f>COUNTIF($J$4:$J$407,E14)</f>
        <v>28</v>
      </c>
      <c r="G14" s="38">
        <f>IFERROR(F14/SUM($F$11:$F$15),0)</f>
        <v>6.9306930693069313E-2</v>
      </c>
      <c r="J14" t="str" cm="1">
        <f t="array" ref="J14">_xlfn.XLOOKUP(INDEX(Log[Exercise],ROWS($J$4:J14)),Exercises[Exercise],Exercises[Category],"Ukendt")</f>
        <v>Compound</v>
      </c>
      <c r="K14">
        <v>1</v>
      </c>
    </row>
    <row r="15" spans="1:21">
      <c r="A15" t="str">
        <v>Pull up vinkel</v>
      </c>
      <c r="B15" t="str">
        <v>Pull</v>
      </c>
      <c r="C15" t="str">
        <v>Compound</v>
      </c>
      <c r="D15">
        <v>19</v>
      </c>
      <c r="E15" t="s">
        <v>1341</v>
      </c>
      <c r="F15">
        <f>COUNTIF($J$4:$J$407,E15)</f>
        <v>1</v>
      </c>
      <c r="G15" s="38">
        <f>IFERROR(F15/SUM($F$11:$F$15),0)</f>
        <v>2.4752475247524753E-3</v>
      </c>
      <c r="J15" t="str" cm="1">
        <f t="array" ref="J15">_xlfn.XLOOKUP(INDEX(Log[Exercise],ROWS($J$4:J15)),Exercises[Exercise],Exercises[Category],"Ukendt")</f>
        <v>Core</v>
      </c>
      <c r="K15">
        <v>1</v>
      </c>
    </row>
    <row r="16" spans="1:21">
      <c r="A16" t="str">
        <v>Leg Extension</v>
      </c>
      <c r="B16" t="str">
        <v>Leg</v>
      </c>
      <c r="C16" t="str">
        <v>Isolation</v>
      </c>
      <c r="D16">
        <v>18</v>
      </c>
      <c r="J16" t="str" cm="1">
        <f t="array" ref="J16">_xlfn.XLOOKUP(INDEX(Log[Exercise],ROWS($J$4:J16)),Exercises[Exercise],Exercises[Category],"Ukendt")</f>
        <v>Stabilization</v>
      </c>
      <c r="K16">
        <v>1</v>
      </c>
    </row>
    <row r="17" spans="1:11">
      <c r="A17" t="str">
        <v>Squat</v>
      </c>
      <c r="B17" t="str">
        <v>Leg</v>
      </c>
      <c r="C17" t="str">
        <v>Compound</v>
      </c>
      <c r="D17">
        <v>17</v>
      </c>
      <c r="J17" t="str" cm="1">
        <f t="array" ref="J17">_xlfn.XLOOKUP(INDEX(Log[Exercise],ROWS($J$4:J17)),Exercises[Exercise],Exercises[Category],"Ukendt")</f>
        <v>Isolation</v>
      </c>
      <c r="K17">
        <v>1</v>
      </c>
    </row>
    <row r="18" spans="1:11">
      <c r="A18" t="str">
        <v>Split squat (Langt skridt)</v>
      </c>
      <c r="B18" t="str">
        <v>Leg</v>
      </c>
      <c r="C18" t="str">
        <v>Compound</v>
      </c>
      <c r="D18">
        <v>17</v>
      </c>
      <c r="J18" t="str" cm="1">
        <f t="array" ref="J18">_xlfn.XLOOKUP(INDEX(Log[Exercise],ROWS($J$4:J18)),Exercises[Exercise],Exercises[Category],"Ukendt")</f>
        <v>Compound</v>
      </c>
      <c r="K18">
        <v>1</v>
      </c>
    </row>
    <row r="19" spans="1:11">
      <c r="A19" t="str">
        <v>Hanging leg raise</v>
      </c>
      <c r="B19" t="str">
        <v>Core</v>
      </c>
      <c r="C19" t="str">
        <v>Core</v>
      </c>
      <c r="D19">
        <v>16</v>
      </c>
      <c r="J19" t="str" cm="1">
        <f t="array" ref="J19">_xlfn.XLOOKUP(INDEX(Log[Exercise],ROWS($J$4:J19)),Exercises[Exercise],Exercises[Category],"Ukendt")</f>
        <v>Isolation</v>
      </c>
      <c r="K19">
        <v>1</v>
      </c>
    </row>
    <row r="20" spans="1:11">
      <c r="A20" t="str">
        <v>Dumbbell Hex Press</v>
      </c>
      <c r="B20" t="str">
        <v>Push</v>
      </c>
      <c r="C20" t="str">
        <v>Compound</v>
      </c>
      <c r="D20">
        <v>16</v>
      </c>
      <c r="J20" t="str" cm="1">
        <f t="array" ref="J20">_xlfn.XLOOKUP(INDEX(Log[Exercise],ROWS($J$4:J20)),Exercises[Exercise],Exercises[Category],"Ukendt")</f>
        <v>Isolation</v>
      </c>
      <c r="K20">
        <v>1</v>
      </c>
    </row>
    <row r="21" spans="1:11">
      <c r="A21" t="str">
        <v>Hammer Curl</v>
      </c>
      <c r="B21" t="str">
        <v>Pull</v>
      </c>
      <c r="C21" t="str">
        <v>Isolation</v>
      </c>
      <c r="D21">
        <v>15</v>
      </c>
      <c r="J21" t="str" cm="1">
        <f t="array" ref="J21">_xlfn.XLOOKUP(INDEX(Log[Exercise],ROWS($J$4:J21)),Exercises[Exercise],Exercises[Category],"Ukendt")</f>
        <v>Compound</v>
      </c>
      <c r="K21">
        <v>1</v>
      </c>
    </row>
    <row r="22" spans="1:11">
      <c r="A22" t="str">
        <v>Single-Arm Dumbbell Row</v>
      </c>
      <c r="B22" t="str">
        <v>Pull</v>
      </c>
      <c r="C22" t="str">
        <v>Compound</v>
      </c>
      <c r="D22">
        <v>14</v>
      </c>
      <c r="J22" t="str" cm="1">
        <f t="array" ref="J22">_xlfn.XLOOKUP(INDEX(Log[Exercise],ROWS($J$4:J22)),Exercises[Exercise],Exercises[Category],"Ukendt")</f>
        <v>Isolation</v>
      </c>
      <c r="K22">
        <v>1</v>
      </c>
    </row>
    <row r="23" spans="1:11">
      <c r="A23" t="str">
        <v>Neutral Grip Lat Pulldown</v>
      </c>
      <c r="B23" t="str">
        <v>Pull</v>
      </c>
      <c r="C23" t="str">
        <v>Isolation</v>
      </c>
      <c r="D23">
        <v>13</v>
      </c>
      <c r="J23" t="str" cm="1">
        <f t="array" ref="J23">_xlfn.XLOOKUP(INDEX(Log[Exercise],ROWS($J$4:J23)),Exercises[Exercise],Exercises[Category],"Ukendt")</f>
        <v>Compound</v>
      </c>
      <c r="K23">
        <v>1</v>
      </c>
    </row>
    <row r="24" spans="1:11">
      <c r="A24" t="str">
        <v>Bench press</v>
      </c>
      <c r="B24" t="str">
        <v>Push</v>
      </c>
      <c r="C24" t="str">
        <v>Compound</v>
      </c>
      <c r="D24">
        <v>13</v>
      </c>
      <c r="J24" t="str" cm="1">
        <f t="array" ref="J24">_xlfn.XLOOKUP(INDEX(Log[Exercise],ROWS($J$4:J24)),Exercises[Exercise],Exercises[Category],"Ukendt")</f>
        <v>Stabilization</v>
      </c>
      <c r="K24">
        <v>1</v>
      </c>
    </row>
    <row r="25" spans="1:11">
      <c r="A25" t="str">
        <v>Straight arm pulldown cable (Cable tower)</v>
      </c>
      <c r="B25" t="str">
        <v>Pull</v>
      </c>
      <c r="C25" t="str">
        <v>Isolation</v>
      </c>
      <c r="D25">
        <v>13</v>
      </c>
      <c r="J25" t="str" cm="1">
        <f t="array" ref="J25">_xlfn.XLOOKUP(INDEX(Log[Exercise],ROWS($J$4:J25)),Exercises[Exercise],Exercises[Category],"Ukendt")</f>
        <v>Compound</v>
      </c>
      <c r="K25">
        <v>1</v>
      </c>
    </row>
    <row r="26" spans="1:11">
      <c r="A26" t="str">
        <v>Farmer’s Walk</v>
      </c>
      <c r="B26" t="str">
        <v>Core</v>
      </c>
      <c r="C26" t="str">
        <v>Stabilization</v>
      </c>
      <c r="D26">
        <v>12</v>
      </c>
      <c r="J26" t="str" cm="1">
        <f t="array" ref="J26">_xlfn.XLOOKUP(INDEX(Log[Exercise],ROWS($J$4:J26)),Exercises[Exercise],Exercises[Category],"Ukendt")</f>
        <v>Stabilization</v>
      </c>
      <c r="K26">
        <v>1</v>
      </c>
    </row>
    <row r="27" spans="1:11">
      <c r="A27" t="str">
        <v>Bench dips</v>
      </c>
      <c r="B27" t="str">
        <v>Push</v>
      </c>
      <c r="C27" t="str">
        <v>Compound</v>
      </c>
      <c r="D27">
        <v>12</v>
      </c>
      <c r="J27" t="str" cm="1">
        <f t="array" ref="J27">_xlfn.XLOOKUP(INDEX(Log[Exercise],ROWS($J$4:J27)),Exercises[Exercise],Exercises[Category],"Ukendt")</f>
        <v>Compound</v>
      </c>
      <c r="K27">
        <v>1</v>
      </c>
    </row>
    <row r="28" spans="1:11">
      <c r="A28" t="str">
        <v>Deadlift</v>
      </c>
      <c r="B28" t="str">
        <v>Pull</v>
      </c>
      <c r="C28" t="str">
        <v>Compound</v>
      </c>
      <c r="D28">
        <v>12</v>
      </c>
      <c r="J28" t="str" cm="1">
        <f t="array" ref="J28">_xlfn.XLOOKUP(INDEX(Log[Exercise],ROWS($J$4:J28)),Exercises[Exercise],Exercises[Category],"Ukendt")</f>
        <v>Core</v>
      </c>
      <c r="K28">
        <v>1</v>
      </c>
    </row>
    <row r="29" spans="1:11">
      <c r="A29" t="str">
        <v>Pike pushup</v>
      </c>
      <c r="B29" t="str">
        <v>Push</v>
      </c>
      <c r="C29" t="str">
        <v>Isolation</v>
      </c>
      <c r="D29">
        <v>12</v>
      </c>
      <c r="J29" t="str" cm="1">
        <f t="array" ref="J29">_xlfn.XLOOKUP(INDEX(Log[Exercise],ROWS($J$4:J29)),Exercises[Exercise],Exercises[Category],"Ukendt")</f>
        <v>Compound</v>
      </c>
      <c r="K29">
        <v>1</v>
      </c>
    </row>
    <row r="30" spans="1:11">
      <c r="A30" t="str">
        <v>Cable External Rotation (90° elbow)</v>
      </c>
      <c r="B30" t="str">
        <v>Pull</v>
      </c>
      <c r="C30" t="str">
        <v>Stabilization</v>
      </c>
      <c r="D30">
        <v>11</v>
      </c>
      <c r="J30" t="str" cm="1">
        <f t="array" ref="J30">_xlfn.XLOOKUP(INDEX(Log[Exercise],ROWS($J$4:J30)),Exercises[Exercise],Exercises[Category],"Ukendt")</f>
        <v>Compound</v>
      </c>
      <c r="K30">
        <v>1</v>
      </c>
    </row>
    <row r="31" spans="1:11">
      <c r="A31" t="str">
        <v>Stationary Bike (moderate, weekly 45min)</v>
      </c>
      <c r="B31" t="str">
        <v>Core</v>
      </c>
      <c r="C31" t="str">
        <v>Isolation</v>
      </c>
      <c r="D31">
        <v>11</v>
      </c>
      <c r="J31" t="str" cm="1">
        <f t="array" ref="J31">_xlfn.XLOOKUP(INDEX(Log[Exercise],ROWS($J$4:J31)),Exercises[Exercise],Exercises[Category],"Ukendt")</f>
        <v>Stabilization</v>
      </c>
      <c r="K31">
        <v>1</v>
      </c>
    </row>
    <row r="32" spans="1:11">
      <c r="A32" t="str">
        <v>Armbøjninger</v>
      </c>
      <c r="B32" t="str">
        <v>Push</v>
      </c>
      <c r="C32" t="str">
        <v>Isolation</v>
      </c>
      <c r="D32">
        <v>10</v>
      </c>
      <c r="J32" t="str" cm="1">
        <f t="array" ref="J32">_xlfn.XLOOKUP(INDEX(Log[Exercise],ROWS($J$4:J32)),Exercises[Exercise],Exercises[Category],"Ukendt")</f>
        <v>Isolation</v>
      </c>
      <c r="K32">
        <v>1</v>
      </c>
    </row>
    <row r="33" spans="1:11">
      <c r="A33" t="str">
        <v>Triceps Rope Pushdown</v>
      </c>
      <c r="B33" t="str">
        <v>Push</v>
      </c>
      <c r="C33" t="str">
        <v>Isolation</v>
      </c>
      <c r="D33">
        <v>10</v>
      </c>
      <c r="J33" t="str" cm="1">
        <f t="array" ref="J33">_xlfn.XLOOKUP(INDEX(Log[Exercise],ROWS($J$4:J33)),Exercises[Exercise],Exercises[Category],"Ukendt")</f>
        <v>Isolation</v>
      </c>
      <c r="K33">
        <v>1</v>
      </c>
    </row>
    <row r="34" spans="1:11">
      <c r="A34" t="str">
        <v>Triceps pulldown (Cable tower,  narrow-grip)</v>
      </c>
      <c r="B34" t="str">
        <v>Push</v>
      </c>
      <c r="C34" t="str">
        <v>Compound</v>
      </c>
      <c r="D34">
        <v>7</v>
      </c>
      <c r="J34" t="str" cm="1">
        <f t="array" ref="J34">_xlfn.XLOOKUP(INDEX(Log[Exercise],ROWS($J$4:J34)),Exercises[Exercise],Exercises[Category],"Ukendt")</f>
        <v>Isolation</v>
      </c>
      <c r="K34">
        <v>1</v>
      </c>
    </row>
    <row r="35" spans="1:11">
      <c r="A35" t="str">
        <v>Cable Pallof Press</v>
      </c>
      <c r="B35" t="str">
        <v>Core</v>
      </c>
      <c r="C35" t="str">
        <v>Compound</v>
      </c>
      <c r="D35">
        <v>6</v>
      </c>
      <c r="J35" t="str" cm="1">
        <f t="array" ref="J35">_xlfn.XLOOKUP(INDEX(Log[Exercise],ROWS($J$4:J35)),Exercises[Exercise],Exercises[Category],"Ukendt")</f>
        <v>Compound</v>
      </c>
      <c r="K35">
        <v>1</v>
      </c>
    </row>
    <row r="36" spans="1:11">
      <c r="A36" t="str">
        <v>Lateral raises</v>
      </c>
      <c r="B36" t="str">
        <v>Push</v>
      </c>
      <c r="C36" t="str">
        <v>Stabilization</v>
      </c>
      <c r="D36">
        <v>6</v>
      </c>
      <c r="J36" t="str" cm="1">
        <f t="array" ref="J36">_xlfn.XLOOKUP(INDEX(Log[Exercise],ROWS($J$4:J36)),Exercises[Exercise],Exercises[Category],"Ukendt")</f>
        <v>Compound</v>
      </c>
      <c r="K36">
        <v>1</v>
      </c>
    </row>
    <row r="37" spans="1:11">
      <c r="A37" t="str">
        <v>Plank (in sec)</v>
      </c>
      <c r="B37" t="str">
        <v>Core</v>
      </c>
      <c r="C37" t="str">
        <v>Core</v>
      </c>
      <c r="D37">
        <v>6</v>
      </c>
      <c r="J37" t="str" cm="1">
        <f t="array" ref="J37">_xlfn.XLOOKUP(INDEX(Log[Exercise],ROWS($J$4:J37)),Exercises[Exercise],Exercises[Category],"Ukendt")</f>
        <v>Compound</v>
      </c>
      <c r="K37">
        <v>1</v>
      </c>
    </row>
    <row r="38" spans="1:11">
      <c r="A38" t="str">
        <v>Dumbell rows</v>
      </c>
      <c r="B38" t="str">
        <v>Pull</v>
      </c>
      <c r="C38" t="str">
        <v>Compound</v>
      </c>
      <c r="D38">
        <v>6</v>
      </c>
      <c r="J38" t="str" cm="1">
        <f t="array" ref="J38">_xlfn.XLOOKUP(INDEX(Log[Exercise],ROWS($J$4:J38)),Exercises[Exercise],Exercises[Category],"Ukendt")</f>
        <v>Compound</v>
      </c>
      <c r="K38">
        <v>1</v>
      </c>
    </row>
    <row r="39" spans="1:11">
      <c r="A39" t="str">
        <v>Reverse Barbell Curl</v>
      </c>
      <c r="B39" t="str">
        <v>Pull</v>
      </c>
      <c r="C39" t="str">
        <v>Isolation</v>
      </c>
      <c r="D39">
        <v>5</v>
      </c>
      <c r="J39" t="str" cm="1">
        <f t="array" ref="J39">_xlfn.XLOOKUP(INDEX(Log[Exercise],ROWS($J$4:J39)),Exercises[Exercise],Exercises[Category],"Ukendt")</f>
        <v>Compound</v>
      </c>
      <c r="K39">
        <v>1</v>
      </c>
    </row>
    <row r="40" spans="1:11">
      <c r="A40" t="str">
        <v>Seated Cable Row (neutral grip)</v>
      </c>
      <c r="B40" t="str">
        <v>Pull</v>
      </c>
      <c r="C40" t="str">
        <v>Compound</v>
      </c>
      <c r="D40">
        <v>5</v>
      </c>
      <c r="J40" t="str" cm="1">
        <f t="array" ref="J40">_xlfn.XLOOKUP(INDEX(Log[Exercise],ROWS($J$4:J40)),Exercises[Exercise],Exercises[Category],"Ukendt")</f>
        <v>Compound</v>
      </c>
      <c r="K40">
        <v>1</v>
      </c>
    </row>
    <row r="41" spans="1:11">
      <c r="A41" t="str">
        <v>Seated Dumbbell Shoulder Press (slight incline)</v>
      </c>
      <c r="B41" t="str">
        <v>Push</v>
      </c>
      <c r="C41" t="str">
        <v>Compound</v>
      </c>
      <c r="D41">
        <v>5</v>
      </c>
      <c r="J41" t="str" cm="1">
        <f t="array" ref="J41">_xlfn.XLOOKUP(INDEX(Log[Exercise],ROWS($J$4:J41)),Exercises[Exercise],Exercises[Category],"Ukendt")</f>
        <v>Stabilization</v>
      </c>
      <c r="K41">
        <v>1</v>
      </c>
    </row>
    <row r="42" spans="1:11">
      <c r="A42" t="str">
        <v>Incline Dumbbell Press (neutral grip)</v>
      </c>
      <c r="B42" t="str">
        <v>Push</v>
      </c>
      <c r="C42" t="str">
        <v>Compound</v>
      </c>
      <c r="D42">
        <v>5</v>
      </c>
      <c r="J42" t="str" cm="1">
        <f t="array" ref="J42">_xlfn.XLOOKUP(INDEX(Log[Exercise],ROWS($J$4:J42)),Exercises[Exercise],Exercises[Category],"Ukendt")</f>
        <v>Compound</v>
      </c>
      <c r="K42">
        <v>1</v>
      </c>
    </row>
    <row r="43" spans="1:11">
      <c r="A43" t="str">
        <v>curl (Cable tower)</v>
      </c>
      <c r="B43" t="str">
        <v>Pull</v>
      </c>
      <c r="C43" t="str">
        <v>Isolation</v>
      </c>
      <c r="D43">
        <v>5</v>
      </c>
      <c r="J43" t="str" cm="1">
        <f t="array" ref="J43">_xlfn.XLOOKUP(INDEX(Log[Exercise],ROWS($J$4:J43)),Exercises[Exercise],Exercises[Category],"Ukendt")</f>
        <v>Compound</v>
      </c>
      <c r="K43">
        <v>1</v>
      </c>
    </row>
    <row r="44" spans="1:11">
      <c r="A44" t="str">
        <v>Dumbell shoulder press</v>
      </c>
      <c r="B44" t="str">
        <v>Push</v>
      </c>
      <c r="C44" t="str">
        <v>Compound</v>
      </c>
      <c r="D44">
        <v>5</v>
      </c>
      <c r="J44" t="str" cm="1">
        <f t="array" ref="J44">_xlfn.XLOOKUP(INDEX(Log[Exercise],ROWS($J$4:J44)),Exercises[Exercise],Exercises[Category],"Ukendt")</f>
        <v>Isolation</v>
      </c>
      <c r="K44">
        <v>1</v>
      </c>
    </row>
    <row r="45" spans="1:11">
      <c r="A45" t="str">
        <v>Cable Crunch</v>
      </c>
      <c r="B45" t="str">
        <v>Core</v>
      </c>
      <c r="C45" t="str">
        <v>Core</v>
      </c>
      <c r="D45">
        <v>4</v>
      </c>
      <c r="J45" t="str" cm="1">
        <f t="array" ref="J45">_xlfn.XLOOKUP(INDEX(Log[Exercise],ROWS($J$4:J45)),Exercises[Exercise],Exercises[Category],"Ukendt")</f>
        <v>Isolation</v>
      </c>
      <c r="K45">
        <v>1</v>
      </c>
    </row>
    <row r="46" spans="1:11">
      <c r="A46" t="str">
        <v>Cable internal rotation (Cable tower)</v>
      </c>
      <c r="B46" t="str">
        <v>Pull</v>
      </c>
      <c r="C46" t="str">
        <v>Stabilization</v>
      </c>
      <c r="D46">
        <v>4</v>
      </c>
      <c r="J46" t="str" cm="1">
        <f t="array" ref="J46">_xlfn.XLOOKUP(INDEX(Log[Exercise],ROWS($J$4:J46)),Exercises[Exercise],Exercises[Category],"Ukendt")</f>
        <v>Isolation</v>
      </c>
      <c r="K46">
        <v>1</v>
      </c>
    </row>
    <row r="47" spans="1:11">
      <c r="A47" t="str">
        <v>Cross body hammer curls</v>
      </c>
      <c r="B47" t="str">
        <v>Pull</v>
      </c>
      <c r="C47" t="str">
        <v>Isolation</v>
      </c>
      <c r="D47">
        <v>4</v>
      </c>
      <c r="J47" t="str" cm="1">
        <f t="array" ref="J47">_xlfn.XLOOKUP(INDEX(Log[Exercise],ROWS($J$4:J47)),Exercises[Exercise],Exercises[Category],"Ukendt")</f>
        <v>Isolation</v>
      </c>
      <c r="K47">
        <v>1</v>
      </c>
    </row>
    <row r="48" spans="1:11">
      <c r="A48" t="str">
        <v>Neck Isometric – Extension (hand resistance)</v>
      </c>
      <c r="B48" t="str">
        <v>Core</v>
      </c>
      <c r="C48" t="str">
        <v>Core</v>
      </c>
      <c r="D48">
        <v>2</v>
      </c>
      <c r="J48" t="str" cm="1">
        <f t="array" ref="J48">_xlfn.XLOOKUP(INDEX(Log[Exercise],ROWS($J$4:J48)),Exercises[Exercise],Exercises[Category],"Ukendt")</f>
        <v>Core</v>
      </c>
      <c r="K48">
        <v>1</v>
      </c>
    </row>
    <row r="49" spans="1:11">
      <c r="A49" t="str">
        <v>Standing Cable Chest Press (split-0stance, neutral grip)</v>
      </c>
      <c r="B49" t="str">
        <v>Push</v>
      </c>
      <c r="C49" t="str">
        <v>Compound</v>
      </c>
      <c r="D49">
        <v>2</v>
      </c>
      <c r="J49" t="str" cm="1">
        <f t="array" ref="J49">_xlfn.XLOOKUP(INDEX(Log[Exercise],ROWS($J$4:J49)),Exercises[Exercise],Exercises[Category],"Ukendt")</f>
        <v>Isolation</v>
      </c>
      <c r="K49">
        <v>1</v>
      </c>
    </row>
    <row r="50" spans="1:11">
      <c r="A50" t="str">
        <v>Bulgarian split squat (One leg, fod on bench)</v>
      </c>
      <c r="B50" t="str">
        <v>Leg</v>
      </c>
      <c r="C50" t="str">
        <v>Compound</v>
      </c>
      <c r="D50">
        <v>2</v>
      </c>
      <c r="J50" t="str" cm="1">
        <f t="array" ref="J50">_xlfn.XLOOKUP(INDEX(Log[Exercise],ROWS($J$4:J50)),Exercises[Exercise],Exercises[Category],"Ukendt")</f>
        <v>Compound</v>
      </c>
      <c r="K50">
        <v>1</v>
      </c>
    </row>
    <row r="51" spans="1:11">
      <c r="A51" t="str">
        <v>Ab wheel rollout</v>
      </c>
      <c r="B51" t="str">
        <v>Core</v>
      </c>
      <c r="C51" t="str">
        <v>Isolation</v>
      </c>
      <c r="D51">
        <v>2</v>
      </c>
      <c r="J51" t="str" cm="1">
        <f t="array" ref="J51">_xlfn.XLOOKUP(INDEX(Log[Exercise],ROWS($J$4:J51)),Exercises[Exercise],Exercises[Category],"Ukendt")</f>
        <v>Stabilization</v>
      </c>
      <c r="K51">
        <v>1</v>
      </c>
    </row>
    <row r="52" spans="1:11">
      <c r="A52" t="str">
        <v>Neck Extension (band/machine)</v>
      </c>
      <c r="B52" t="str">
        <v>Core</v>
      </c>
      <c r="C52" t="str">
        <v>Core</v>
      </c>
      <c r="D52">
        <v>1</v>
      </c>
      <c r="J52" t="str" cm="1">
        <f t="array" ref="J52">_xlfn.XLOOKUP(INDEX(Log[Exercise],ROWS($J$4:J52)),Exercises[Exercise],Exercises[Category],"Ukendt")</f>
        <v>Compound</v>
      </c>
      <c r="K52">
        <v>1</v>
      </c>
    </row>
    <row r="53" spans="1:11">
      <c r="A53" t="str">
        <v>Inclined curls</v>
      </c>
      <c r="B53" t="str">
        <v>Pull</v>
      </c>
      <c r="C53" t="str">
        <v>Isolation</v>
      </c>
      <c r="D53">
        <v>1</v>
      </c>
      <c r="J53" t="str" cm="1">
        <f t="array" ref="J53">_xlfn.XLOOKUP(INDEX(Log[Exercise],ROWS($J$4:J53)),Exercises[Exercise],Exercises[Category],"Ukendt")</f>
        <v>Compound</v>
      </c>
      <c r="K53">
        <v>1</v>
      </c>
    </row>
    <row r="54" spans="1:11">
      <c r="A54" t="str">
        <v>Single-arm dumbbell overhead extension</v>
      </c>
      <c r="B54" t="str">
        <v>Push</v>
      </c>
      <c r="C54" t="str">
        <v>Isolation</v>
      </c>
      <c r="D54">
        <v>1</v>
      </c>
      <c r="J54" t="str" cm="1">
        <f t="array" ref="J54">_xlfn.XLOOKUP(INDEX(Log[Exercise],ROWS($J$4:J54)),Exercises[Exercise],Exercises[Category],"Ukendt")</f>
        <v>Compound</v>
      </c>
      <c r="K54">
        <v>1</v>
      </c>
    </row>
    <row r="55" spans="1:11">
      <c r="A55" t="str">
        <v>KB curl</v>
      </c>
      <c r="B55" t="str">
        <v>Pull</v>
      </c>
      <c r="C55" t="str">
        <v>Isolation</v>
      </c>
      <c r="D55">
        <v>1</v>
      </c>
      <c r="J55" t="str" cm="1">
        <f t="array" ref="J55">_xlfn.XLOOKUP(INDEX(Log[Exercise],ROWS($J$4:J55)),Exercises[Exercise],Exercises[Category],"Ukendt")</f>
        <v>Isolation</v>
      </c>
      <c r="K55">
        <v>1</v>
      </c>
    </row>
    <row r="56" spans="1:11">
      <c r="A56" t="str">
        <v>overhead tricep extension cable</v>
      </c>
      <c r="B56" t="str">
        <v>Push</v>
      </c>
      <c r="C56" t="str">
        <v>Isolation</v>
      </c>
      <c r="D56">
        <v>1</v>
      </c>
      <c r="J56" t="str" cm="1">
        <f t="array" ref="J56">_xlfn.XLOOKUP(INDEX(Log[Exercise],ROWS($J$4:J56)),Exercises[Exercise],Exercises[Category],"Ukendt")</f>
        <v>Compound</v>
      </c>
      <c r="K56">
        <v>1</v>
      </c>
    </row>
    <row r="57" spans="1:11">
      <c r="A57" t="str">
        <v>Incline bench press</v>
      </c>
      <c r="B57" t="str">
        <v>Push</v>
      </c>
      <c r="C57" t="str">
        <v>Compound</v>
      </c>
      <c r="D57">
        <v>1</v>
      </c>
      <c r="J57" t="str" cm="1">
        <f t="array" ref="J57">_xlfn.XLOOKUP(INDEX(Log[Exercise],ROWS($J$4:J57)),Exercises[Exercise],Exercises[Category],"Ukendt")</f>
        <v>Compound</v>
      </c>
      <c r="K57">
        <v>1</v>
      </c>
    </row>
    <row r="58" spans="1:11">
      <c r="A58">
        <v>0</v>
      </c>
      <c r="B58" t="str">
        <v>Ukendt</v>
      </c>
      <c r="C58" t="str">
        <v>Ukendt</v>
      </c>
      <c r="D58">
        <v>0</v>
      </c>
      <c r="J58" t="str" cm="1">
        <f t="array" ref="J58">_xlfn.XLOOKUP(INDEX(Log[Exercise],ROWS($J$4:J58)),Exercises[Exercise],Exercises[Category],"Ukendt")</f>
        <v>Stabilization</v>
      </c>
      <c r="K58">
        <v>1</v>
      </c>
    </row>
    <row r="59" spans="1:11">
      <c r="J59" t="str" cm="1">
        <f t="array" ref="J59">_xlfn.XLOOKUP(INDEX(Log[Exercise],ROWS($J$4:J59)),Exercises[Exercise],Exercises[Category],"Ukendt")</f>
        <v>Isolation</v>
      </c>
      <c r="K59">
        <v>1</v>
      </c>
    </row>
    <row r="60" spans="1:11">
      <c r="J60" t="str" cm="1">
        <f t="array" ref="J60">_xlfn.XLOOKUP(INDEX(Log[Exercise],ROWS($J$4:J60)),Exercises[Exercise],Exercises[Category],"Ukendt")</f>
        <v>Isolation</v>
      </c>
      <c r="K60">
        <v>1</v>
      </c>
    </row>
    <row r="61" spans="1:11">
      <c r="G61" s="38"/>
      <c r="J61" t="str" cm="1">
        <f t="array" ref="J61">_xlfn.XLOOKUP(INDEX(Log[Exercise],ROWS($J$4:J61)),Exercises[Exercise],Exercises[Category],"Ukendt")</f>
        <v>Compound</v>
      </c>
      <c r="K61">
        <v>1</v>
      </c>
    </row>
    <row r="62" spans="1:11">
      <c r="G62" s="38"/>
      <c r="J62" t="str" cm="1">
        <f t="array" ref="J62">_xlfn.XLOOKUP(INDEX(Log[Exercise],ROWS($J$4:J62)),Exercises[Exercise],Exercises[Category],"Ukendt")</f>
        <v>Compound</v>
      </c>
      <c r="K62">
        <v>1</v>
      </c>
    </row>
    <row r="63" spans="1:11">
      <c r="G63" s="38"/>
      <c r="J63" t="str" cm="1">
        <f t="array" ref="J63">_xlfn.XLOOKUP(INDEX(Log[Exercise],ROWS($J$4:J63)),Exercises[Exercise],Exercises[Category],"Ukendt")</f>
        <v>Core</v>
      </c>
      <c r="K63">
        <v>1</v>
      </c>
    </row>
    <row r="64" spans="1:11">
      <c r="G64" s="38"/>
      <c r="J64" t="str" cm="1">
        <f t="array" ref="J64">_xlfn.XLOOKUP(INDEX(Log[Exercise],ROWS($J$4:J64)),Exercises[Exercise],Exercises[Category],"Ukendt")</f>
        <v>Stabilization</v>
      </c>
      <c r="K64">
        <v>1</v>
      </c>
    </row>
    <row r="65" spans="7:11">
      <c r="G65" s="38"/>
      <c r="J65" t="str" cm="1">
        <f t="array" ref="J65">_xlfn.XLOOKUP(INDEX(Log[Exercise],ROWS($J$4:J65)),Exercises[Exercise],Exercises[Category],"Ukendt")</f>
        <v>Stabilization</v>
      </c>
      <c r="K65">
        <v>1</v>
      </c>
    </row>
    <row r="66" spans="7:11">
      <c r="G66" s="38"/>
      <c r="J66" t="str" cm="1">
        <f t="array" ref="J66">_xlfn.XLOOKUP(INDEX(Log[Exercise],ROWS($J$4:J66)),Exercises[Exercise],Exercises[Category],"Ukendt")</f>
        <v>Core</v>
      </c>
      <c r="K66">
        <v>1</v>
      </c>
    </row>
    <row r="67" spans="7:11">
      <c r="G67" s="38"/>
      <c r="J67" t="str" cm="1">
        <f t="array" ref="J67">_xlfn.XLOOKUP(INDEX(Log[Exercise],ROWS($J$4:J67)),Exercises[Exercise],Exercises[Category],"Ukendt")</f>
        <v>Compound</v>
      </c>
      <c r="K67">
        <v>1</v>
      </c>
    </row>
    <row r="68" spans="7:11">
      <c r="G68" s="38"/>
      <c r="J68" t="str" cm="1">
        <f t="array" ref="J68">_xlfn.XLOOKUP(INDEX(Log[Exercise],ROWS($J$4:J68)),Exercises[Exercise],Exercises[Category],"Ukendt")</f>
        <v>Stabilization</v>
      </c>
      <c r="K68">
        <v>1</v>
      </c>
    </row>
    <row r="69" spans="7:11">
      <c r="G69" s="38"/>
      <c r="J69" t="str" cm="1">
        <f t="array" ref="J69">_xlfn.XLOOKUP(INDEX(Log[Exercise],ROWS($J$4:J69)),Exercises[Exercise],Exercises[Category],"Ukendt")</f>
        <v>Compound</v>
      </c>
      <c r="K69">
        <v>1</v>
      </c>
    </row>
    <row r="70" spans="7:11">
      <c r="G70" s="38"/>
      <c r="J70" t="str" cm="1">
        <f t="array" ref="J70">_xlfn.XLOOKUP(INDEX(Log[Exercise],ROWS($J$4:J70)),Exercises[Exercise],Exercises[Category],"Ukendt")</f>
        <v>Isolation</v>
      </c>
      <c r="K70">
        <v>1</v>
      </c>
    </row>
    <row r="71" spans="7:11">
      <c r="G71" s="38"/>
      <c r="J71" t="str" cm="1">
        <f t="array" ref="J71">_xlfn.XLOOKUP(INDEX(Log[Exercise],ROWS($J$4:J71)),Exercises[Exercise],Exercises[Category],"Ukendt")</f>
        <v>Compound</v>
      </c>
      <c r="K71">
        <v>1</v>
      </c>
    </row>
    <row r="72" spans="7:11">
      <c r="G72" s="38"/>
      <c r="J72" t="str" cm="1">
        <f t="array" ref="J72">_xlfn.XLOOKUP(INDEX(Log[Exercise],ROWS($J$4:J72)),Exercises[Exercise],Exercises[Category],"Ukendt")</f>
        <v>Stabilization</v>
      </c>
      <c r="K72">
        <v>1</v>
      </c>
    </row>
    <row r="73" spans="7:11">
      <c r="G73" s="38"/>
      <c r="J73" t="str" cm="1">
        <f t="array" ref="J73">_xlfn.XLOOKUP(INDEX(Log[Exercise],ROWS($J$4:J73)),Exercises[Exercise],Exercises[Category],"Ukendt")</f>
        <v>Compound</v>
      </c>
      <c r="K73">
        <v>1</v>
      </c>
    </row>
    <row r="74" spans="7:11">
      <c r="G74" s="38"/>
      <c r="J74" t="str" cm="1">
        <f t="array" ref="J74">_xlfn.XLOOKUP(INDEX(Log[Exercise],ROWS($J$4:J74)),Exercises[Exercise],Exercises[Category],"Ukendt")</f>
        <v>Isolation</v>
      </c>
      <c r="K74">
        <v>1</v>
      </c>
    </row>
    <row r="75" spans="7:11">
      <c r="G75" s="38"/>
      <c r="J75" t="str" cm="1">
        <f t="array" ref="J75">_xlfn.XLOOKUP(INDEX(Log[Exercise],ROWS($J$4:J75)),Exercises[Exercise],Exercises[Category],"Ukendt")</f>
        <v>Isolation</v>
      </c>
      <c r="K75">
        <v>1</v>
      </c>
    </row>
    <row r="76" spans="7:11">
      <c r="G76" s="38"/>
      <c r="J76" t="str" cm="1">
        <f t="array" ref="J76">_xlfn.XLOOKUP(INDEX(Log[Exercise],ROWS($J$4:J76)),Exercises[Exercise],Exercises[Category],"Ukendt")</f>
        <v>Core</v>
      </c>
      <c r="K76">
        <v>1</v>
      </c>
    </row>
    <row r="77" spans="7:11">
      <c r="G77" s="38"/>
      <c r="J77" t="str" cm="1">
        <f t="array" ref="J77">_xlfn.XLOOKUP(INDEX(Log[Exercise],ROWS($J$4:J77)),Exercises[Exercise],Exercises[Category],"Ukendt")</f>
        <v>Compound</v>
      </c>
      <c r="K77">
        <v>1</v>
      </c>
    </row>
    <row r="78" spans="7:11">
      <c r="G78" s="38"/>
      <c r="J78" t="str" cm="1">
        <f t="array" ref="J78">_xlfn.XLOOKUP(INDEX(Log[Exercise],ROWS($J$4:J78)),Exercises[Exercise],Exercises[Category],"Ukendt")</f>
        <v>Stabilization</v>
      </c>
      <c r="K78">
        <v>1</v>
      </c>
    </row>
    <row r="79" spans="7:11">
      <c r="G79" s="38"/>
      <c r="J79" t="str" cm="1">
        <f t="array" ref="J79">_xlfn.XLOOKUP(INDEX(Log[Exercise],ROWS($J$4:J79)),Exercises[Exercise],Exercises[Category],"Ukendt")</f>
        <v>Stabilization</v>
      </c>
      <c r="K79">
        <v>1</v>
      </c>
    </row>
    <row r="80" spans="7:11">
      <c r="G80" s="38"/>
      <c r="J80" t="str" cm="1">
        <f t="array" ref="J80">_xlfn.XLOOKUP(INDEX(Log[Exercise],ROWS($J$4:J80)),Exercises[Exercise],Exercises[Category],"Ukendt")</f>
        <v>Isolation</v>
      </c>
      <c r="K80">
        <v>1</v>
      </c>
    </row>
    <row r="81" spans="10:11">
      <c r="J81" t="str" cm="1">
        <f t="array" ref="J81">_xlfn.XLOOKUP(INDEX(Log[Exercise],ROWS($J$4:J81)),Exercises[Exercise],Exercises[Category],"Ukendt")</f>
        <v>Isolation</v>
      </c>
      <c r="K81">
        <v>1</v>
      </c>
    </row>
    <row r="82" spans="10:11">
      <c r="J82" t="str" cm="1">
        <f t="array" ref="J82">_xlfn.XLOOKUP(INDEX(Log[Exercise],ROWS($J$4:J82)),Exercises[Exercise],Exercises[Category],"Ukendt")</f>
        <v>Isolation</v>
      </c>
      <c r="K82">
        <v>1</v>
      </c>
    </row>
    <row r="83" spans="10:11">
      <c r="J83" t="str" cm="1">
        <f t="array" ref="J83">_xlfn.XLOOKUP(INDEX(Log[Exercise],ROWS($J$4:J83)),Exercises[Exercise],Exercises[Category],"Ukendt")</f>
        <v>Isolation</v>
      </c>
      <c r="K83">
        <v>1</v>
      </c>
    </row>
    <row r="84" spans="10:11">
      <c r="J84" t="str" cm="1">
        <f t="array" ref="J84">_xlfn.XLOOKUP(INDEX(Log[Exercise],ROWS($J$4:J84)),Exercises[Exercise],Exercises[Category],"Ukendt")</f>
        <v>Compound</v>
      </c>
      <c r="K84">
        <v>1</v>
      </c>
    </row>
    <row r="85" spans="10:11">
      <c r="J85" t="str" cm="1">
        <f t="array" ref="J85">_xlfn.XLOOKUP(INDEX(Log[Exercise],ROWS($J$4:J85)),Exercises[Exercise],Exercises[Category],"Ukendt")</f>
        <v>Compound</v>
      </c>
      <c r="K85">
        <v>1</v>
      </c>
    </row>
    <row r="86" spans="10:11">
      <c r="J86" t="str" cm="1">
        <f t="array" ref="J86">_xlfn.XLOOKUP(INDEX(Log[Exercise],ROWS($J$4:J86)),Exercises[Exercise],Exercises[Category],"Ukendt")</f>
        <v>Compound</v>
      </c>
      <c r="K86">
        <v>1</v>
      </c>
    </row>
    <row r="87" spans="10:11">
      <c r="J87" t="str" cm="1">
        <f t="array" ref="J87">_xlfn.XLOOKUP(INDEX(Log[Exercise],ROWS($J$4:J87)),Exercises[Exercise],Exercises[Category],"Ukendt")</f>
        <v>Isolation</v>
      </c>
      <c r="K87">
        <v>1</v>
      </c>
    </row>
    <row r="88" spans="10:11">
      <c r="J88" t="str" cm="1">
        <f t="array" ref="J88">_xlfn.XLOOKUP(INDEX(Log[Exercise],ROWS($J$4:J88)),Exercises[Exercise],Exercises[Category],"Ukendt")</f>
        <v>Core</v>
      </c>
      <c r="K88">
        <v>1</v>
      </c>
    </row>
    <row r="89" spans="10:11">
      <c r="J89" t="str" cm="1">
        <f t="array" ref="J89">_xlfn.XLOOKUP(INDEX(Log[Exercise],ROWS($J$4:J89)),Exercises[Exercise],Exercises[Category],"Ukendt")</f>
        <v>Stabilization</v>
      </c>
      <c r="K89">
        <v>1</v>
      </c>
    </row>
    <row r="90" spans="10:11">
      <c r="J90" t="str" cm="1">
        <f t="array" ref="J90">_xlfn.XLOOKUP(INDEX(Log[Exercise],ROWS($J$4:J90)),Exercises[Exercise],Exercises[Category],"Ukendt")</f>
        <v>Stabilization</v>
      </c>
      <c r="K90">
        <v>1</v>
      </c>
    </row>
    <row r="91" spans="10:11">
      <c r="J91" t="str" cm="1">
        <f t="array" ref="J91">_xlfn.XLOOKUP(INDEX(Log[Exercise],ROWS($J$4:J91)),Exercises[Exercise],Exercises[Category],"Ukendt")</f>
        <v>Stabilization</v>
      </c>
      <c r="K91">
        <v>1</v>
      </c>
    </row>
    <row r="92" spans="10:11">
      <c r="J92" t="str" cm="1">
        <f t="array" ref="J92">_xlfn.XLOOKUP(INDEX(Log[Exercise],ROWS($J$4:J92)),Exercises[Exercise],Exercises[Category],"Ukendt")</f>
        <v>Compound</v>
      </c>
      <c r="K92">
        <v>1</v>
      </c>
    </row>
    <row r="93" spans="10:11">
      <c r="J93" t="str" cm="1">
        <f t="array" ref="J93">_xlfn.XLOOKUP(INDEX(Log[Exercise],ROWS($J$4:J93)),Exercises[Exercise],Exercises[Category],"Ukendt")</f>
        <v>Compound</v>
      </c>
      <c r="K93">
        <v>1</v>
      </c>
    </row>
    <row r="94" spans="10:11">
      <c r="J94" t="str" cm="1">
        <f t="array" ref="J94">_xlfn.XLOOKUP(INDEX(Log[Exercise],ROWS($J$4:J94)),Exercises[Exercise],Exercises[Category],"Ukendt")</f>
        <v>Compound</v>
      </c>
      <c r="K94">
        <v>1</v>
      </c>
    </row>
    <row r="95" spans="10:11">
      <c r="J95" t="str" cm="1">
        <f t="array" ref="J95">_xlfn.XLOOKUP(INDEX(Log[Exercise],ROWS($J$4:J95)),Exercises[Exercise],Exercises[Category],"Ukendt")</f>
        <v>Compound</v>
      </c>
      <c r="K95">
        <v>1</v>
      </c>
    </row>
    <row r="96" spans="10:11">
      <c r="J96" t="str" cm="1">
        <f t="array" ref="J96">_xlfn.XLOOKUP(INDEX(Log[Exercise],ROWS($J$4:J96)),Exercises[Exercise],Exercises[Category],"Ukendt")</f>
        <v>Stabilization</v>
      </c>
      <c r="K96">
        <v>1</v>
      </c>
    </row>
    <row r="97" spans="10:11">
      <c r="J97" t="str" cm="1">
        <f t="array" ref="J97">_xlfn.XLOOKUP(INDEX(Log[Exercise],ROWS($J$4:J97)),Exercises[Exercise],Exercises[Category],"Ukendt")</f>
        <v>Compound</v>
      </c>
      <c r="K97">
        <v>1</v>
      </c>
    </row>
    <row r="98" spans="10:11">
      <c r="J98" t="str" cm="1">
        <f t="array" ref="J98">_xlfn.XLOOKUP(INDEX(Log[Exercise],ROWS($J$4:J98)),Exercises[Exercise],Exercises[Category],"Ukendt")</f>
        <v>Isolation</v>
      </c>
      <c r="K98">
        <v>1</v>
      </c>
    </row>
    <row r="99" spans="10:11">
      <c r="J99" t="str" cm="1">
        <f t="array" ref="J99">_xlfn.XLOOKUP(INDEX(Log[Exercise],ROWS($J$4:J99)),Exercises[Exercise],Exercises[Category],"Ukendt")</f>
        <v>Isolation</v>
      </c>
      <c r="K99">
        <v>1</v>
      </c>
    </row>
    <row r="100" spans="10:11">
      <c r="J100" t="str" cm="1">
        <f t="array" ref="J100">_xlfn.XLOOKUP(INDEX(Log[Exercise],ROWS($J$4:J100)),Exercises[Exercise],Exercises[Category],"Ukendt")</f>
        <v>Compound</v>
      </c>
      <c r="K100">
        <v>1</v>
      </c>
    </row>
    <row r="101" spans="10:11">
      <c r="J101" t="str" cm="1">
        <f t="array" ref="J101">_xlfn.XLOOKUP(INDEX(Log[Exercise],ROWS($J$4:J101)),Exercises[Exercise],Exercises[Category],"Ukendt")</f>
        <v>Compound</v>
      </c>
      <c r="K101">
        <v>1</v>
      </c>
    </row>
    <row r="102" spans="10:11">
      <c r="J102" t="str" cm="1">
        <f t="array" ref="J102">_xlfn.XLOOKUP(INDEX(Log[Exercise],ROWS($J$4:J102)),Exercises[Exercise],Exercises[Category],"Ukendt")</f>
        <v>Stabilization</v>
      </c>
      <c r="K102">
        <v>1</v>
      </c>
    </row>
    <row r="103" spans="10:11">
      <c r="J103" t="str" cm="1">
        <f t="array" ref="J103">_xlfn.XLOOKUP(INDEX(Log[Exercise],ROWS($J$4:J103)),Exercises[Exercise],Exercises[Category],"Ukendt")</f>
        <v>Isolation</v>
      </c>
      <c r="K103">
        <v>1</v>
      </c>
    </row>
    <row r="104" spans="10:11">
      <c r="J104" t="str" cm="1">
        <f t="array" ref="J104">_xlfn.XLOOKUP(INDEX(Log[Exercise],ROWS($J$4:J104)),Exercises[Exercise],Exercises[Category],"Ukendt")</f>
        <v>Isolation</v>
      </c>
      <c r="K104">
        <v>1</v>
      </c>
    </row>
    <row r="105" spans="10:11">
      <c r="J105" t="str" cm="1">
        <f t="array" ref="J105">_xlfn.XLOOKUP(INDEX(Log[Exercise],ROWS($J$4:J105)),Exercises[Exercise],Exercises[Category],"Ukendt")</f>
        <v>Compound</v>
      </c>
      <c r="K105">
        <v>1</v>
      </c>
    </row>
    <row r="106" spans="10:11">
      <c r="J106" t="str" cm="1">
        <f t="array" ref="J106">_xlfn.XLOOKUP(INDEX(Log[Exercise],ROWS($J$4:J106)),Exercises[Exercise],Exercises[Category],"Ukendt")</f>
        <v>Compound</v>
      </c>
      <c r="K106">
        <v>1</v>
      </c>
    </row>
    <row r="107" spans="10:11">
      <c r="J107" t="str" cm="1">
        <f t="array" ref="J107">_xlfn.XLOOKUP(INDEX(Log[Exercise],ROWS($J$4:J107)),Exercises[Exercise],Exercises[Category],"Ukendt")</f>
        <v>Core</v>
      </c>
      <c r="K107">
        <v>1</v>
      </c>
    </row>
    <row r="108" spans="10:11">
      <c r="J108" t="str" cm="1">
        <f t="array" ref="J108">_xlfn.XLOOKUP(INDEX(Log[Exercise],ROWS($J$4:J108)),Exercises[Exercise],Exercises[Category],"Ukendt")</f>
        <v>Stabilization</v>
      </c>
      <c r="K108">
        <v>1</v>
      </c>
    </row>
    <row r="109" spans="10:11">
      <c r="J109" t="str" cm="1">
        <f t="array" ref="J109">_xlfn.XLOOKUP(INDEX(Log[Exercise],ROWS($J$4:J109)),Exercises[Exercise],Exercises[Category],"Ukendt")</f>
        <v>Stabilization</v>
      </c>
      <c r="K109">
        <v>1</v>
      </c>
    </row>
    <row r="110" spans="10:11">
      <c r="J110" t="str" cm="1">
        <f t="array" ref="J110">_xlfn.XLOOKUP(INDEX(Log[Exercise],ROWS($J$4:J110)),Exercises[Exercise],Exercises[Category],"Ukendt")</f>
        <v>Isolation</v>
      </c>
      <c r="K110">
        <v>1</v>
      </c>
    </row>
    <row r="111" spans="10:11">
      <c r="J111" t="str" cm="1">
        <f t="array" ref="J111">_xlfn.XLOOKUP(INDEX(Log[Exercise],ROWS($J$4:J111)),Exercises[Exercise],Exercises[Category],"Ukendt")</f>
        <v>Compound</v>
      </c>
      <c r="K111">
        <v>1</v>
      </c>
    </row>
    <row r="112" spans="10:11">
      <c r="J112" t="str" cm="1">
        <f t="array" ref="J112">_xlfn.XLOOKUP(INDEX(Log[Exercise],ROWS($J$4:J112)),Exercises[Exercise],Exercises[Category],"Ukendt")</f>
        <v>Stabilization</v>
      </c>
      <c r="K112">
        <v>1</v>
      </c>
    </row>
    <row r="113" spans="10:11">
      <c r="J113" t="str" cm="1">
        <f t="array" ref="J113">_xlfn.XLOOKUP(INDEX(Log[Exercise],ROWS($J$4:J113)),Exercises[Exercise],Exercises[Category],"Ukendt")</f>
        <v>Compound</v>
      </c>
      <c r="K113">
        <v>1</v>
      </c>
    </row>
    <row r="114" spans="10:11">
      <c r="J114" t="str" cm="1">
        <f t="array" ref="J114">_xlfn.XLOOKUP(INDEX(Log[Exercise],ROWS($J$4:J114)),Exercises[Exercise],Exercises[Category],"Ukendt")</f>
        <v>Compound</v>
      </c>
      <c r="K114">
        <v>1</v>
      </c>
    </row>
    <row r="115" spans="10:11">
      <c r="J115" t="str" cm="1">
        <f t="array" ref="J115">_xlfn.XLOOKUP(INDEX(Log[Exercise],ROWS($J$4:J115)),Exercises[Exercise],Exercises[Category],"Ukendt")</f>
        <v>Isolation</v>
      </c>
      <c r="K115">
        <v>1</v>
      </c>
    </row>
    <row r="116" spans="10:11">
      <c r="J116" t="str" cm="1">
        <f t="array" ref="J116">_xlfn.XLOOKUP(INDEX(Log[Exercise],ROWS($J$4:J116)),Exercises[Exercise],Exercises[Category],"Ukendt")</f>
        <v>Isolation</v>
      </c>
      <c r="K116">
        <v>1</v>
      </c>
    </row>
    <row r="117" spans="10:11">
      <c r="J117" t="str" cm="1">
        <f t="array" ref="J117">_xlfn.XLOOKUP(INDEX(Log[Exercise],ROWS($J$4:J117)),Exercises[Exercise],Exercises[Category],"Ukendt")</f>
        <v>Compound</v>
      </c>
      <c r="K117">
        <v>1</v>
      </c>
    </row>
    <row r="118" spans="10:11">
      <c r="J118" t="str" cm="1">
        <f t="array" ref="J118">_xlfn.XLOOKUP(INDEX(Log[Exercise],ROWS($J$4:J118)),Exercises[Exercise],Exercises[Category],"Ukendt")</f>
        <v>Compound</v>
      </c>
      <c r="K118">
        <v>1</v>
      </c>
    </row>
    <row r="119" spans="10:11">
      <c r="J119" t="str" cm="1">
        <f t="array" ref="J119">_xlfn.XLOOKUP(INDEX(Log[Exercise],ROWS($J$4:J119)),Exercises[Exercise],Exercises[Category],"Ukendt")</f>
        <v>Compound</v>
      </c>
      <c r="K119">
        <v>1</v>
      </c>
    </row>
    <row r="120" spans="10:11">
      <c r="J120" t="str" cm="1">
        <f t="array" ref="J120">_xlfn.XLOOKUP(INDEX(Log[Exercise],ROWS($J$4:J120)),Exercises[Exercise],Exercises[Category],"Ukendt")</f>
        <v>Compound</v>
      </c>
      <c r="K120">
        <v>1</v>
      </c>
    </row>
    <row r="121" spans="10:11">
      <c r="J121" t="str" cm="1">
        <f t="array" ref="J121">_xlfn.XLOOKUP(INDEX(Log[Exercise],ROWS($J$4:J121)),Exercises[Exercise],Exercises[Category],"Ukendt")</f>
        <v>Compound</v>
      </c>
      <c r="K121">
        <v>1</v>
      </c>
    </row>
    <row r="122" spans="10:11">
      <c r="J122" t="str" cm="1">
        <f t="array" ref="J122">_xlfn.XLOOKUP(INDEX(Log[Exercise],ROWS($J$4:J122)),Exercises[Exercise],Exercises[Category],"Ukendt")</f>
        <v>Compound</v>
      </c>
      <c r="K122">
        <v>1</v>
      </c>
    </row>
    <row r="123" spans="10:11">
      <c r="J123" t="str" cm="1">
        <f t="array" ref="J123">_xlfn.XLOOKUP(INDEX(Log[Exercise],ROWS($J$4:J123)),Exercises[Exercise],Exercises[Category],"Ukendt")</f>
        <v>Stabilization</v>
      </c>
      <c r="K123">
        <v>1</v>
      </c>
    </row>
    <row r="124" spans="10:11">
      <c r="J124" t="str" cm="1">
        <f t="array" ref="J124">_xlfn.XLOOKUP(INDEX(Log[Exercise],ROWS($J$4:J124)),Exercises[Exercise],Exercises[Category],"Ukendt")</f>
        <v>Compound</v>
      </c>
      <c r="K124">
        <v>1</v>
      </c>
    </row>
    <row r="125" spans="10:11">
      <c r="J125" t="str" cm="1">
        <f t="array" ref="J125">_xlfn.XLOOKUP(INDEX(Log[Exercise],ROWS($J$4:J125)),Exercises[Exercise],Exercises[Category],"Ukendt")</f>
        <v>Isolation</v>
      </c>
      <c r="K125">
        <v>1</v>
      </c>
    </row>
    <row r="126" spans="10:11">
      <c r="J126" t="str" cm="1">
        <f t="array" ref="J126">_xlfn.XLOOKUP(INDEX(Log[Exercise],ROWS($J$4:J126)),Exercises[Exercise],Exercises[Category],"Ukendt")</f>
        <v>Isolation</v>
      </c>
      <c r="K126">
        <v>1</v>
      </c>
    </row>
    <row r="127" spans="10:11">
      <c r="J127" t="str" cm="1">
        <f t="array" ref="J127">_xlfn.XLOOKUP(INDEX(Log[Exercise],ROWS($J$4:J127)),Exercises[Exercise],Exercises[Category],"Ukendt")</f>
        <v>Core</v>
      </c>
      <c r="K127">
        <v>1</v>
      </c>
    </row>
    <row r="128" spans="10:11">
      <c r="J128" t="str" cm="1">
        <f t="array" ref="J128">_xlfn.XLOOKUP(INDEX(Log[Exercise],ROWS($J$4:J128)),Exercises[Exercise],Exercises[Category],"Ukendt")</f>
        <v>Isolation</v>
      </c>
      <c r="K128">
        <v>1</v>
      </c>
    </row>
    <row r="129" spans="10:11">
      <c r="J129" t="str" cm="1">
        <f t="array" ref="J129">_xlfn.XLOOKUP(INDEX(Log[Exercise],ROWS($J$4:J129)),Exercises[Exercise],Exercises[Category],"Ukendt")</f>
        <v>Isolation</v>
      </c>
      <c r="K129">
        <v>1</v>
      </c>
    </row>
    <row r="130" spans="10:11">
      <c r="J130" t="str" cm="1">
        <f t="array" ref="J130">_xlfn.XLOOKUP(INDEX(Log[Exercise],ROWS($J$4:J130)),Exercises[Exercise],Exercises[Category],"Ukendt")</f>
        <v>Compound</v>
      </c>
      <c r="K130">
        <v>1</v>
      </c>
    </row>
    <row r="131" spans="10:11">
      <c r="J131" t="str" cm="1">
        <f t="array" ref="J131">_xlfn.XLOOKUP(INDEX(Log[Exercise],ROWS($J$4:J131)),Exercises[Exercise],Exercises[Category],"Ukendt")</f>
        <v>Stabilization</v>
      </c>
      <c r="K131">
        <v>1</v>
      </c>
    </row>
    <row r="132" spans="10:11">
      <c r="J132" t="str" cm="1">
        <f t="array" ref="J132">_xlfn.XLOOKUP(INDEX(Log[Exercise],ROWS($J$4:J132)),Exercises[Exercise],Exercises[Category],"Ukendt")</f>
        <v>Compound</v>
      </c>
      <c r="K132">
        <v>1</v>
      </c>
    </row>
    <row r="133" spans="10:11">
      <c r="J133" t="str" cm="1">
        <f t="array" ref="J133">_xlfn.XLOOKUP(INDEX(Log[Exercise],ROWS($J$4:J133)),Exercises[Exercise],Exercises[Category],"Ukendt")</f>
        <v>Compound</v>
      </c>
      <c r="K133">
        <v>1</v>
      </c>
    </row>
    <row r="134" spans="10:11">
      <c r="J134" t="str" cm="1">
        <f t="array" ref="J134">_xlfn.XLOOKUP(INDEX(Log[Exercise],ROWS($J$4:J134)),Exercises[Exercise],Exercises[Category],"Ukendt")</f>
        <v>Isolation</v>
      </c>
      <c r="K134">
        <v>1</v>
      </c>
    </row>
    <row r="135" spans="10:11">
      <c r="J135" t="str" cm="1">
        <f t="array" ref="J135">_xlfn.XLOOKUP(INDEX(Log[Exercise],ROWS($J$4:J135)),Exercises[Exercise],Exercises[Category],"Ukendt")</f>
        <v>Compound</v>
      </c>
      <c r="K135">
        <v>1</v>
      </c>
    </row>
    <row r="136" spans="10:11">
      <c r="J136" t="str" cm="1">
        <f t="array" ref="J136">_xlfn.XLOOKUP(INDEX(Log[Exercise],ROWS($J$4:J136)),Exercises[Exercise],Exercises[Category],"Ukendt")</f>
        <v>Stabilization</v>
      </c>
      <c r="K136">
        <v>1</v>
      </c>
    </row>
    <row r="137" spans="10:11">
      <c r="J137" t="str" cm="1">
        <f t="array" ref="J137">_xlfn.XLOOKUP(INDEX(Log[Exercise],ROWS($J$4:J137)),Exercises[Exercise],Exercises[Category],"Ukendt")</f>
        <v>Compound</v>
      </c>
      <c r="K137">
        <v>1</v>
      </c>
    </row>
    <row r="138" spans="10:11">
      <c r="J138" t="str" cm="1">
        <f t="array" ref="J138">_xlfn.XLOOKUP(INDEX(Log[Exercise],ROWS($J$4:J138)),Exercises[Exercise],Exercises[Category],"Ukendt")</f>
        <v>Isolation</v>
      </c>
      <c r="K138">
        <v>1</v>
      </c>
    </row>
    <row r="139" spans="10:11">
      <c r="J139" t="str" cm="1">
        <f t="array" ref="J139">_xlfn.XLOOKUP(INDEX(Log[Exercise],ROWS($J$4:J139)),Exercises[Exercise],Exercises[Category],"Ukendt")</f>
        <v>Isolation</v>
      </c>
      <c r="K139">
        <v>1</v>
      </c>
    </row>
    <row r="140" spans="10:11">
      <c r="J140" t="str" cm="1">
        <f t="array" ref="J140">_xlfn.XLOOKUP(INDEX(Log[Exercise],ROWS($J$4:J140)),Exercises[Exercise],Exercises[Category],"Ukendt")</f>
        <v>Isolation</v>
      </c>
      <c r="K140">
        <v>1</v>
      </c>
    </row>
    <row r="141" spans="10:11">
      <c r="J141" t="str" cm="1">
        <f t="array" ref="J141">_xlfn.XLOOKUP(INDEX(Log[Exercise],ROWS($J$4:J141)),Exercises[Exercise],Exercises[Category],"Ukendt")</f>
        <v>Compound</v>
      </c>
      <c r="K141">
        <v>1</v>
      </c>
    </row>
    <row r="142" spans="10:11">
      <c r="J142" t="str" cm="1">
        <f t="array" ref="J142">_xlfn.XLOOKUP(INDEX(Log[Exercise],ROWS($J$4:J142)),Exercises[Exercise],Exercises[Category],"Ukendt")</f>
        <v>Core</v>
      </c>
      <c r="K142">
        <v>1</v>
      </c>
    </row>
    <row r="143" spans="10:11">
      <c r="J143" t="str" cm="1">
        <f t="array" ref="J143">_xlfn.XLOOKUP(INDEX(Log[Exercise],ROWS($J$4:J143)),Exercises[Exercise],Exercises[Category],"Ukendt")</f>
        <v>Isolation</v>
      </c>
      <c r="K143">
        <v>1</v>
      </c>
    </row>
    <row r="144" spans="10:11">
      <c r="J144" t="str" cm="1">
        <f t="array" ref="J144">_xlfn.XLOOKUP(INDEX(Log[Exercise],ROWS($J$4:J144)),Exercises[Exercise],Exercises[Category],"Ukendt")</f>
        <v>Compound</v>
      </c>
      <c r="K144">
        <v>1</v>
      </c>
    </row>
    <row r="145" spans="10:11">
      <c r="J145" t="str" cm="1">
        <f t="array" ref="J145">_xlfn.XLOOKUP(INDEX(Log[Exercise],ROWS($J$4:J145)),Exercises[Exercise],Exercises[Category],"Ukendt")</f>
        <v>Compound</v>
      </c>
      <c r="K145">
        <v>1</v>
      </c>
    </row>
    <row r="146" spans="10:11">
      <c r="J146" t="str" cm="1">
        <f t="array" ref="J146">_xlfn.XLOOKUP(INDEX(Log[Exercise],ROWS($J$4:J146)),Exercises[Exercise],Exercises[Category],"Ukendt")</f>
        <v>Compound</v>
      </c>
      <c r="K146">
        <v>1</v>
      </c>
    </row>
    <row r="147" spans="10:11">
      <c r="J147" t="str" cm="1">
        <f t="array" ref="J147">_xlfn.XLOOKUP(INDEX(Log[Exercise],ROWS($J$4:J147)),Exercises[Exercise],Exercises[Category],"Ukendt")</f>
        <v>Core</v>
      </c>
      <c r="K147">
        <v>1</v>
      </c>
    </row>
    <row r="148" spans="10:11">
      <c r="J148" t="str" cm="1">
        <f t="array" ref="J148">_xlfn.XLOOKUP(INDEX(Log[Exercise],ROWS($J$4:J148)),Exercises[Exercise],Exercises[Category],"Ukendt")</f>
        <v>Compound</v>
      </c>
      <c r="K148">
        <v>1</v>
      </c>
    </row>
    <row r="149" spans="10:11">
      <c r="J149" t="str" cm="1">
        <f t="array" ref="J149">_xlfn.XLOOKUP(INDEX(Log[Exercise],ROWS($J$4:J149)),Exercises[Exercise],Exercises[Category],"Ukendt")</f>
        <v>Compound</v>
      </c>
      <c r="K149">
        <v>1</v>
      </c>
    </row>
    <row r="150" spans="10:11">
      <c r="J150" t="str" cm="1">
        <f t="array" ref="J150">_xlfn.XLOOKUP(INDEX(Log[Exercise],ROWS($J$4:J150)),Exercises[Exercise],Exercises[Category],"Ukendt")</f>
        <v>Compound</v>
      </c>
      <c r="K150">
        <v>1</v>
      </c>
    </row>
    <row r="151" spans="10:11">
      <c r="J151" t="str" cm="1">
        <f t="array" ref="J151">_xlfn.XLOOKUP(INDEX(Log[Exercise],ROWS($J$4:J151)),Exercises[Exercise],Exercises[Category],"Ukendt")</f>
        <v>Compound</v>
      </c>
      <c r="K151">
        <v>1</v>
      </c>
    </row>
    <row r="152" spans="10:11">
      <c r="J152" t="str" cm="1">
        <f t="array" ref="J152">_xlfn.XLOOKUP(INDEX(Log[Exercise],ROWS($J$4:J152)),Exercises[Exercise],Exercises[Category],"Ukendt")</f>
        <v>Compound</v>
      </c>
      <c r="K152">
        <v>1</v>
      </c>
    </row>
    <row r="153" spans="10:11">
      <c r="J153" t="str" cm="1">
        <f t="array" ref="J153">_xlfn.XLOOKUP(INDEX(Log[Exercise],ROWS($J$4:J153)),Exercises[Exercise],Exercises[Category],"Ukendt")</f>
        <v>Isolation</v>
      </c>
      <c r="K153">
        <v>1</v>
      </c>
    </row>
    <row r="154" spans="10:11">
      <c r="J154" t="str" cm="1">
        <f t="array" ref="J154">_xlfn.XLOOKUP(INDEX(Log[Exercise],ROWS($J$4:J154)),Exercises[Exercise],Exercises[Category],"Ukendt")</f>
        <v>Compound</v>
      </c>
      <c r="K154">
        <v>1</v>
      </c>
    </row>
    <row r="155" spans="10:11">
      <c r="J155" t="str" cm="1">
        <f t="array" ref="J155">_xlfn.XLOOKUP(INDEX(Log[Exercise],ROWS($J$4:J155)),Exercises[Exercise],Exercises[Category],"Ukendt")</f>
        <v>Stabilization</v>
      </c>
      <c r="K155">
        <v>1</v>
      </c>
    </row>
    <row r="156" spans="10:11">
      <c r="J156" t="str" cm="1">
        <f t="array" ref="J156">_xlfn.XLOOKUP(INDEX(Log[Exercise],ROWS($J$4:J156)),Exercises[Exercise],Exercises[Category],"Ukendt")</f>
        <v>Isolation</v>
      </c>
      <c r="K156">
        <v>1</v>
      </c>
    </row>
    <row r="157" spans="10:11">
      <c r="J157" t="str" cm="1">
        <f t="array" ref="J157">_xlfn.XLOOKUP(INDEX(Log[Exercise],ROWS($J$4:J157)),Exercises[Exercise],Exercises[Category],"Ukendt")</f>
        <v>Isolation</v>
      </c>
      <c r="K157">
        <v>1</v>
      </c>
    </row>
    <row r="158" spans="10:11">
      <c r="J158" t="str" cm="1">
        <f t="array" ref="J158">_xlfn.XLOOKUP(INDEX(Log[Exercise],ROWS($J$4:J158)),Exercises[Exercise],Exercises[Category],"Ukendt")</f>
        <v>Compound</v>
      </c>
      <c r="K158">
        <v>1</v>
      </c>
    </row>
    <row r="159" spans="10:11">
      <c r="J159" t="str" cm="1">
        <f t="array" ref="J159">_xlfn.XLOOKUP(INDEX(Log[Exercise],ROWS($J$4:J159)),Exercises[Exercise],Exercises[Category],"Ukendt")</f>
        <v>Stabilization</v>
      </c>
      <c r="K159">
        <v>1</v>
      </c>
    </row>
    <row r="160" spans="10:11">
      <c r="J160" t="str" cm="1">
        <f t="array" ref="J160">_xlfn.XLOOKUP(INDEX(Log[Exercise],ROWS($J$4:J160)),Exercises[Exercise],Exercises[Category],"Ukendt")</f>
        <v>Compound</v>
      </c>
      <c r="K160">
        <v>1</v>
      </c>
    </row>
    <row r="161" spans="10:11">
      <c r="J161" t="str" cm="1">
        <f t="array" ref="J161">_xlfn.XLOOKUP(INDEX(Log[Exercise],ROWS($J$4:J161)),Exercises[Exercise],Exercises[Category],"Ukendt")</f>
        <v>Compound</v>
      </c>
      <c r="K161">
        <v>1</v>
      </c>
    </row>
    <row r="162" spans="10:11">
      <c r="J162" t="str" cm="1">
        <f t="array" ref="J162">_xlfn.XLOOKUP(INDEX(Log[Exercise],ROWS($J$4:J162)),Exercises[Exercise],Exercises[Category],"Ukendt")</f>
        <v>Compound</v>
      </c>
      <c r="K162">
        <v>1</v>
      </c>
    </row>
    <row r="163" spans="10:11">
      <c r="J163" t="str" cm="1">
        <f t="array" ref="J163">_xlfn.XLOOKUP(INDEX(Log[Exercise],ROWS($J$4:J163)),Exercises[Exercise],Exercises[Category],"Ukendt")</f>
        <v>Compound</v>
      </c>
      <c r="K163">
        <v>1</v>
      </c>
    </row>
    <row r="164" spans="10:11">
      <c r="J164" t="str" cm="1">
        <f t="array" ref="J164">_xlfn.XLOOKUP(INDEX(Log[Exercise],ROWS($J$4:J164)),Exercises[Exercise],Exercises[Category],"Ukendt")</f>
        <v>Compound</v>
      </c>
      <c r="K164">
        <v>1</v>
      </c>
    </row>
    <row r="165" spans="10:11">
      <c r="J165" t="str" cm="1">
        <f t="array" ref="J165">_xlfn.XLOOKUP(INDEX(Log[Exercise],ROWS($J$4:J165)),Exercises[Exercise],Exercises[Category],"Ukendt")</f>
        <v>Stabilization</v>
      </c>
      <c r="K165">
        <v>1</v>
      </c>
    </row>
    <row r="166" spans="10:11">
      <c r="J166" t="str" cm="1">
        <f t="array" ref="J166">_xlfn.XLOOKUP(INDEX(Log[Exercise],ROWS($J$4:J166)),Exercises[Exercise],Exercises[Category],"Ukendt")</f>
        <v>Compound</v>
      </c>
      <c r="K166">
        <v>1</v>
      </c>
    </row>
    <row r="167" spans="10:11">
      <c r="J167" t="str" cm="1">
        <f t="array" ref="J167">_xlfn.XLOOKUP(INDEX(Log[Exercise],ROWS($J$4:J167)),Exercises[Exercise],Exercises[Category],"Ukendt")</f>
        <v>Stabilization</v>
      </c>
      <c r="K167">
        <v>1</v>
      </c>
    </row>
    <row r="168" spans="10:11">
      <c r="J168" t="str" cm="1">
        <f t="array" ref="J168">_xlfn.XLOOKUP(INDEX(Log[Exercise],ROWS($J$4:J168)),Exercises[Exercise],Exercises[Category],"Ukendt")</f>
        <v>Stabilization</v>
      </c>
      <c r="K168">
        <v>1</v>
      </c>
    </row>
    <row r="169" spans="10:11">
      <c r="J169" t="str" cm="1">
        <f t="array" ref="J169">_xlfn.XLOOKUP(INDEX(Log[Exercise],ROWS($J$4:J169)),Exercises[Exercise],Exercises[Category],"Ukendt")</f>
        <v>Isolation</v>
      </c>
      <c r="K169">
        <v>1</v>
      </c>
    </row>
    <row r="170" spans="10:11">
      <c r="J170" t="str" cm="1">
        <f t="array" ref="J170">_xlfn.XLOOKUP(INDEX(Log[Exercise],ROWS($J$4:J170)),Exercises[Exercise],Exercises[Category],"Ukendt")</f>
        <v>Isolation</v>
      </c>
      <c r="K170">
        <v>1</v>
      </c>
    </row>
    <row r="171" spans="10:11">
      <c r="J171" t="str" cm="1">
        <f t="array" ref="J171">_xlfn.XLOOKUP(INDEX(Log[Exercise],ROWS($J$4:J171)),Exercises[Exercise],Exercises[Category],"Ukendt")</f>
        <v>Isolation</v>
      </c>
      <c r="K171">
        <v>1</v>
      </c>
    </row>
    <row r="172" spans="10:11">
      <c r="J172" t="str" cm="1">
        <f t="array" ref="J172">_xlfn.XLOOKUP(INDEX(Log[Exercise],ROWS($J$4:J172)),Exercises[Exercise],Exercises[Category],"Ukendt")</f>
        <v>Isolation</v>
      </c>
      <c r="K172">
        <v>1</v>
      </c>
    </row>
    <row r="173" spans="10:11">
      <c r="J173" t="str" cm="1">
        <f t="array" ref="J173">_xlfn.XLOOKUP(INDEX(Log[Exercise],ROWS($J$4:J173)),Exercises[Exercise],Exercises[Category],"Ukendt")</f>
        <v>Isolation</v>
      </c>
      <c r="K173">
        <v>1</v>
      </c>
    </row>
    <row r="174" spans="10:11">
      <c r="J174" t="str" cm="1">
        <f t="array" ref="J174">_xlfn.XLOOKUP(INDEX(Log[Exercise],ROWS($J$4:J174)),Exercises[Exercise],Exercises[Category],"Ukendt")</f>
        <v>Isolation</v>
      </c>
      <c r="K174">
        <v>1</v>
      </c>
    </row>
    <row r="175" spans="10:11">
      <c r="J175" t="str" cm="1">
        <f t="array" ref="J175">_xlfn.XLOOKUP(INDEX(Log[Exercise],ROWS($J$4:J175)),Exercises[Exercise],Exercises[Category],"Ukendt")</f>
        <v>Isolation</v>
      </c>
      <c r="K175">
        <v>1</v>
      </c>
    </row>
    <row r="176" spans="10:11">
      <c r="J176" t="str" cm="1">
        <f t="array" ref="J176">_xlfn.XLOOKUP(INDEX(Log[Exercise],ROWS($J$4:J176)),Exercises[Exercise],Exercises[Category],"Ukendt")</f>
        <v>Compound</v>
      </c>
      <c r="K176">
        <v>1</v>
      </c>
    </row>
    <row r="177" spans="10:11">
      <c r="J177" t="str" cm="1">
        <f t="array" ref="J177">_xlfn.XLOOKUP(INDEX(Log[Exercise],ROWS($J$4:J177)),Exercises[Exercise],Exercises[Category],"Ukendt")</f>
        <v>Isolation</v>
      </c>
      <c r="K177">
        <v>1</v>
      </c>
    </row>
    <row r="178" spans="10:11">
      <c r="J178" t="str" cm="1">
        <f t="array" ref="J178">_xlfn.XLOOKUP(INDEX(Log[Exercise],ROWS($J$4:J178)),Exercises[Exercise],Exercises[Category],"Ukendt")</f>
        <v>Compound</v>
      </c>
      <c r="K178">
        <v>1</v>
      </c>
    </row>
    <row r="179" spans="10:11">
      <c r="J179" t="str" cm="1">
        <f t="array" ref="J179">_xlfn.XLOOKUP(INDEX(Log[Exercise],ROWS($J$4:J179)),Exercises[Exercise],Exercises[Category],"Ukendt")</f>
        <v>Core</v>
      </c>
      <c r="K179">
        <v>1</v>
      </c>
    </row>
    <row r="180" spans="10:11">
      <c r="J180" t="str" cm="1">
        <f t="array" ref="J180">_xlfn.XLOOKUP(INDEX(Log[Exercise],ROWS($J$4:J180)),Exercises[Exercise],Exercises[Category],"Ukendt")</f>
        <v>Compound</v>
      </c>
      <c r="K180">
        <v>1</v>
      </c>
    </row>
    <row r="181" spans="10:11">
      <c r="J181" t="str" cm="1">
        <f t="array" ref="J181">_xlfn.XLOOKUP(INDEX(Log[Exercise],ROWS($J$4:J181)),Exercises[Exercise],Exercises[Category],"Ukendt")</f>
        <v>Compound</v>
      </c>
      <c r="K181">
        <v>1</v>
      </c>
    </row>
    <row r="182" spans="10:11">
      <c r="J182" t="str" cm="1">
        <f t="array" ref="J182">_xlfn.XLOOKUP(INDEX(Log[Exercise],ROWS($J$4:J182)),Exercises[Exercise],Exercises[Category],"Ukendt")</f>
        <v>Isolation</v>
      </c>
      <c r="K182">
        <v>1</v>
      </c>
    </row>
    <row r="183" spans="10:11">
      <c r="J183" t="str" cm="1">
        <f t="array" ref="J183">_xlfn.XLOOKUP(INDEX(Log[Exercise],ROWS($J$4:J183)),Exercises[Exercise],Exercises[Category],"Ukendt")</f>
        <v>Compound</v>
      </c>
      <c r="K183">
        <v>1</v>
      </c>
    </row>
    <row r="184" spans="10:11">
      <c r="J184" t="str" cm="1">
        <f t="array" ref="J184">_xlfn.XLOOKUP(INDEX(Log[Exercise],ROWS($J$4:J184)),Exercises[Exercise],Exercises[Category],"Ukendt")</f>
        <v>Compound</v>
      </c>
      <c r="K184">
        <v>1</v>
      </c>
    </row>
    <row r="185" spans="10:11">
      <c r="J185" t="str" cm="1">
        <f t="array" ref="J185">_xlfn.XLOOKUP(INDEX(Log[Exercise],ROWS($J$4:J185)),Exercises[Exercise],Exercises[Category],"Ukendt")</f>
        <v>Isolation</v>
      </c>
      <c r="K185">
        <v>1</v>
      </c>
    </row>
    <row r="186" spans="10:11">
      <c r="J186" t="str" cm="1">
        <f t="array" ref="J186">_xlfn.XLOOKUP(INDEX(Log[Exercise],ROWS($J$4:J186)),Exercises[Exercise],Exercises[Category],"Ukendt")</f>
        <v>Stabilization</v>
      </c>
      <c r="K186">
        <v>1</v>
      </c>
    </row>
    <row r="187" spans="10:11">
      <c r="J187" t="str" cm="1">
        <f t="array" ref="J187">_xlfn.XLOOKUP(INDEX(Log[Exercise],ROWS($J$4:J187)),Exercises[Exercise],Exercises[Category],"Ukendt")</f>
        <v>Compound</v>
      </c>
      <c r="K187">
        <v>1</v>
      </c>
    </row>
    <row r="188" spans="10:11">
      <c r="J188" t="str" cm="1">
        <f t="array" ref="J188">_xlfn.XLOOKUP(INDEX(Log[Exercise],ROWS($J$4:J188)),Exercises[Exercise],Exercises[Category],"Ukendt")</f>
        <v>Stabilization</v>
      </c>
      <c r="K188">
        <v>1</v>
      </c>
    </row>
    <row r="189" spans="10:11">
      <c r="J189" t="str" cm="1">
        <f t="array" ref="J189">_xlfn.XLOOKUP(INDEX(Log[Exercise],ROWS($J$4:J189)),Exercises[Exercise],Exercises[Category],"Ukendt")</f>
        <v>Compound</v>
      </c>
      <c r="K189">
        <v>1</v>
      </c>
    </row>
    <row r="190" spans="10:11">
      <c r="J190" t="str" cm="1">
        <f t="array" ref="J190">_xlfn.XLOOKUP(INDEX(Log[Exercise],ROWS($J$4:J190)),Exercises[Exercise],Exercises[Category],"Ukendt")</f>
        <v>Compound</v>
      </c>
      <c r="K190">
        <v>1</v>
      </c>
    </row>
    <row r="191" spans="10:11">
      <c r="J191" t="str" cm="1">
        <f t="array" ref="J191">_xlfn.XLOOKUP(INDEX(Log[Exercise],ROWS($J$4:J191)),Exercises[Exercise],Exercises[Category],"Ukendt")</f>
        <v>Stabilization</v>
      </c>
      <c r="K191">
        <v>1</v>
      </c>
    </row>
    <row r="192" spans="10:11">
      <c r="J192" t="str" cm="1">
        <f t="array" ref="J192">_xlfn.XLOOKUP(INDEX(Log[Exercise],ROWS($J$4:J192)),Exercises[Exercise],Exercises[Category],"Ukendt")</f>
        <v>Isolation</v>
      </c>
      <c r="K192">
        <v>1</v>
      </c>
    </row>
    <row r="193" spans="10:11">
      <c r="J193" t="str" cm="1">
        <f t="array" ref="J193">_xlfn.XLOOKUP(INDEX(Log[Exercise],ROWS($J$4:J193)),Exercises[Exercise],Exercises[Category],"Ukendt")</f>
        <v>Compound</v>
      </c>
      <c r="K193">
        <v>1</v>
      </c>
    </row>
    <row r="194" spans="10:11">
      <c r="J194" t="str" cm="1">
        <f t="array" ref="J194">_xlfn.XLOOKUP(INDEX(Log[Exercise],ROWS($J$4:J194)),Exercises[Exercise],Exercises[Category],"Ukendt")</f>
        <v>Isolation</v>
      </c>
      <c r="K194">
        <v>1</v>
      </c>
    </row>
    <row r="195" spans="10:11">
      <c r="J195" t="str" cm="1">
        <f t="array" ref="J195">_xlfn.XLOOKUP(INDEX(Log[Exercise],ROWS($J$4:J195)),Exercises[Exercise],Exercises[Category],"Ukendt")</f>
        <v>Isolation</v>
      </c>
      <c r="K195">
        <v>1</v>
      </c>
    </row>
    <row r="196" spans="10:11">
      <c r="J196" t="str" cm="1">
        <f t="array" ref="J196">_xlfn.XLOOKUP(INDEX(Log[Exercise],ROWS($J$4:J196)),Exercises[Exercise],Exercises[Category],"Ukendt")</f>
        <v>Isolation</v>
      </c>
      <c r="K196">
        <v>1</v>
      </c>
    </row>
    <row r="197" spans="10:11">
      <c r="J197" t="str" cm="1">
        <f t="array" ref="J197">_xlfn.XLOOKUP(INDEX(Log[Exercise],ROWS($J$4:J197)),Exercises[Exercise],Exercises[Category],"Ukendt")</f>
        <v>Isolation</v>
      </c>
      <c r="K197">
        <v>1</v>
      </c>
    </row>
    <row r="198" spans="10:11">
      <c r="J198" t="str" cm="1">
        <f t="array" ref="J198">_xlfn.XLOOKUP(INDEX(Log[Exercise],ROWS($J$4:J198)),Exercises[Exercise],Exercises[Category],"Ukendt")</f>
        <v>Compound</v>
      </c>
      <c r="K198">
        <v>1</v>
      </c>
    </row>
    <row r="199" spans="10:11">
      <c r="J199" t="str" cm="1">
        <f t="array" ref="J199">_xlfn.XLOOKUP(INDEX(Log[Exercise],ROWS($J$4:J199)),Exercises[Exercise],Exercises[Category],"Ukendt")</f>
        <v>Compound</v>
      </c>
      <c r="K199">
        <v>1</v>
      </c>
    </row>
    <row r="200" spans="10:11">
      <c r="J200" t="str" cm="1">
        <f t="array" ref="J200">_xlfn.XLOOKUP(INDEX(Log[Exercise],ROWS($J$4:J200)),Exercises[Exercise],Exercises[Category],"Ukendt")</f>
        <v>Compound</v>
      </c>
      <c r="K200">
        <v>1</v>
      </c>
    </row>
    <row r="201" spans="10:11">
      <c r="J201" t="str" cm="1">
        <f t="array" ref="J201">_xlfn.XLOOKUP(INDEX(Log[Exercise],ROWS($J$4:J201)),Exercises[Exercise],Exercises[Category],"Ukendt")</f>
        <v>Compound</v>
      </c>
      <c r="K201">
        <v>1</v>
      </c>
    </row>
    <row r="202" spans="10:11">
      <c r="J202" t="str" cm="1">
        <f t="array" ref="J202">_xlfn.XLOOKUP(INDEX(Log[Exercise],ROWS($J$4:J202)),Exercises[Exercise],Exercises[Category],"Ukendt")</f>
        <v>Compound</v>
      </c>
      <c r="K202">
        <v>1</v>
      </c>
    </row>
    <row r="203" spans="10:11">
      <c r="J203" t="str" cm="1">
        <f t="array" ref="J203">_xlfn.XLOOKUP(INDEX(Log[Exercise],ROWS($J$4:J203)),Exercises[Exercise],Exercises[Category],"Ukendt")</f>
        <v>Stabilization</v>
      </c>
      <c r="K203">
        <v>1</v>
      </c>
    </row>
    <row r="204" spans="10:11">
      <c r="J204" t="str" cm="1">
        <f t="array" ref="J204">_xlfn.XLOOKUP(INDEX(Log[Exercise],ROWS($J$4:J204)),Exercises[Exercise],Exercises[Category],"Ukendt")</f>
        <v>Isolation</v>
      </c>
      <c r="K204">
        <v>1</v>
      </c>
    </row>
    <row r="205" spans="10:11">
      <c r="J205" t="str" cm="1">
        <f t="array" ref="J205">_xlfn.XLOOKUP(INDEX(Log[Exercise],ROWS($J$4:J205)),Exercises[Exercise],Exercises[Category],"Ukendt")</f>
        <v>Compound</v>
      </c>
      <c r="K205">
        <v>1</v>
      </c>
    </row>
    <row r="206" spans="10:11">
      <c r="J206" t="str" cm="1">
        <f t="array" ref="J206">_xlfn.XLOOKUP(INDEX(Log[Exercise],ROWS($J$4:J206)),Exercises[Exercise],Exercises[Category],"Ukendt")</f>
        <v>Compound</v>
      </c>
      <c r="K206">
        <v>1</v>
      </c>
    </row>
    <row r="207" spans="10:11">
      <c r="J207" t="str" cm="1">
        <f t="array" ref="J207">_xlfn.XLOOKUP(INDEX(Log[Exercise],ROWS($J$4:J207)),Exercises[Exercise],Exercises[Category],"Ukendt")</f>
        <v>Core</v>
      </c>
      <c r="K207">
        <v>1</v>
      </c>
    </row>
    <row r="208" spans="10:11">
      <c r="J208" t="str" cm="1">
        <f t="array" ref="J208">_xlfn.XLOOKUP(INDEX(Log[Exercise],ROWS($J$4:J208)),Exercises[Exercise],Exercises[Category],"Ukendt")</f>
        <v>Compound</v>
      </c>
      <c r="K208">
        <v>1</v>
      </c>
    </row>
    <row r="209" spans="10:11">
      <c r="J209" t="str" cm="1">
        <f t="array" ref="J209">_xlfn.XLOOKUP(INDEX(Log[Exercise],ROWS($J$4:J209)),Exercises[Exercise],Exercises[Category],"Ukendt")</f>
        <v>Compound</v>
      </c>
      <c r="K209">
        <v>1</v>
      </c>
    </row>
    <row r="210" spans="10:11">
      <c r="J210" t="str" cm="1">
        <f t="array" ref="J210">_xlfn.XLOOKUP(INDEX(Log[Exercise],ROWS($J$4:J210)),Exercises[Exercise],Exercises[Category],"Ukendt")</f>
        <v>Compound</v>
      </c>
      <c r="K210">
        <v>1</v>
      </c>
    </row>
    <row r="211" spans="10:11">
      <c r="J211" t="str" cm="1">
        <f t="array" ref="J211">_xlfn.XLOOKUP(INDEX(Log[Exercise],ROWS($J$4:J211)),Exercises[Exercise],Exercises[Category],"Ukendt")</f>
        <v>Compound</v>
      </c>
      <c r="K211">
        <v>1</v>
      </c>
    </row>
    <row r="212" spans="10:11">
      <c r="J212" t="str" cm="1">
        <f t="array" ref="J212">_xlfn.XLOOKUP(INDEX(Log[Exercise],ROWS($J$4:J212)),Exercises[Exercise],Exercises[Category],"Ukendt")</f>
        <v>Compound</v>
      </c>
      <c r="K212">
        <v>1</v>
      </c>
    </row>
    <row r="213" spans="10:11">
      <c r="J213" t="str" cm="1">
        <f t="array" ref="J213">_xlfn.XLOOKUP(INDEX(Log[Exercise],ROWS($J$4:J213)),Exercises[Exercise],Exercises[Category],"Ukendt")</f>
        <v>Stabilization</v>
      </c>
      <c r="K213">
        <v>1</v>
      </c>
    </row>
    <row r="214" spans="10:11">
      <c r="J214" t="str" cm="1">
        <f t="array" ref="J214">_xlfn.XLOOKUP(INDEX(Log[Exercise],ROWS($J$4:J214)),Exercises[Exercise],Exercises[Category],"Ukendt")</f>
        <v>Compound</v>
      </c>
      <c r="K214">
        <v>1</v>
      </c>
    </row>
    <row r="215" spans="10:11">
      <c r="J215" t="str" cm="1">
        <f t="array" ref="J215">_xlfn.XLOOKUP(INDEX(Log[Exercise],ROWS($J$4:J215)),Exercises[Exercise],Exercises[Category],"Ukendt")</f>
        <v>Isolation</v>
      </c>
      <c r="K215">
        <v>1</v>
      </c>
    </row>
    <row r="216" spans="10:11">
      <c r="J216" t="str" cm="1">
        <f t="array" ref="J216">_xlfn.XLOOKUP(INDEX(Log[Exercise],ROWS($J$4:J216)),Exercises[Exercise],Exercises[Category],"Ukendt")</f>
        <v>Compound</v>
      </c>
      <c r="K216">
        <v>1</v>
      </c>
    </row>
    <row r="217" spans="10:11">
      <c r="J217" t="str" cm="1">
        <f t="array" ref="J217">_xlfn.XLOOKUP(INDEX(Log[Exercise],ROWS($J$4:J217)),Exercises[Exercise],Exercises[Category],"Ukendt")</f>
        <v>Stabilization</v>
      </c>
      <c r="K217">
        <v>1</v>
      </c>
    </row>
    <row r="218" spans="10:11">
      <c r="J218" t="str" cm="1">
        <f t="array" ref="J218">_xlfn.XLOOKUP(INDEX(Log[Exercise],ROWS($J$4:J218)),Exercises[Exercise],Exercises[Category],"Ukendt")</f>
        <v>Isolation</v>
      </c>
      <c r="K218">
        <v>1</v>
      </c>
    </row>
    <row r="219" spans="10:11">
      <c r="J219" t="str" cm="1">
        <f t="array" ref="J219">_xlfn.XLOOKUP(INDEX(Log[Exercise],ROWS($J$4:J219)),Exercises[Exercise],Exercises[Category],"Ukendt")</f>
        <v>Isolation</v>
      </c>
      <c r="K219">
        <v>1</v>
      </c>
    </row>
    <row r="220" spans="10:11">
      <c r="J220" t="str" cm="1">
        <f t="array" ref="J220">_xlfn.XLOOKUP(INDEX(Log[Exercise],ROWS($J$4:J220)),Exercises[Exercise],Exercises[Category],"Ukendt")</f>
        <v>Isolation</v>
      </c>
      <c r="K220">
        <v>1</v>
      </c>
    </row>
    <row r="221" spans="10:11">
      <c r="J221" t="str" cm="1">
        <f t="array" ref="J221">_xlfn.XLOOKUP(INDEX(Log[Exercise],ROWS($J$4:J221)),Exercises[Exercise],Exercises[Category],"Ukendt")</f>
        <v>Isolation</v>
      </c>
      <c r="K221">
        <v>1</v>
      </c>
    </row>
    <row r="222" spans="10:11">
      <c r="J222" t="str" cm="1">
        <f t="array" ref="J222">_xlfn.XLOOKUP(INDEX(Log[Exercise],ROWS($J$4:J222)),Exercises[Exercise],Exercises[Category],"Ukendt")</f>
        <v>Compound</v>
      </c>
      <c r="K222">
        <v>1</v>
      </c>
    </row>
    <row r="223" spans="10:11">
      <c r="J223" t="str" cm="1">
        <f t="array" ref="J223">_xlfn.XLOOKUP(INDEX(Log[Exercise],ROWS($J$4:J223)),Exercises[Exercise],Exercises[Category],"Ukendt")</f>
        <v>Compound</v>
      </c>
      <c r="K223">
        <v>1</v>
      </c>
    </row>
    <row r="224" spans="10:11">
      <c r="J224" t="str" cm="1">
        <f t="array" ref="J224">_xlfn.XLOOKUP(INDEX(Log[Exercise],ROWS($J$4:J224)),Exercises[Exercise],Exercises[Category],"Ukendt")</f>
        <v>Compound</v>
      </c>
      <c r="K224">
        <v>1</v>
      </c>
    </row>
    <row r="225" spans="10:11">
      <c r="J225" t="str" cm="1">
        <f t="array" ref="J225">_xlfn.XLOOKUP(INDEX(Log[Exercise],ROWS($J$4:J225)),Exercises[Exercise],Exercises[Category],"Ukendt")</f>
        <v>Compound</v>
      </c>
      <c r="K225">
        <v>1</v>
      </c>
    </row>
    <row r="226" spans="10:11">
      <c r="J226" t="str" cm="1">
        <f t="array" ref="J226">_xlfn.XLOOKUP(INDEX(Log[Exercise],ROWS($J$4:J226)),Exercises[Exercise],Exercises[Category],"Ukendt")</f>
        <v>Core</v>
      </c>
      <c r="K226">
        <v>1</v>
      </c>
    </row>
    <row r="227" spans="10:11">
      <c r="J227" t="str" cm="1">
        <f t="array" ref="J227">_xlfn.XLOOKUP(INDEX(Log[Exercise],ROWS($J$4:J227)),Exercises[Exercise],Exercises[Category],"Ukendt")</f>
        <v>Isolation</v>
      </c>
      <c r="K227">
        <v>1</v>
      </c>
    </row>
    <row r="228" spans="10:11">
      <c r="J228" t="str" cm="1">
        <f t="array" ref="J228">_xlfn.XLOOKUP(INDEX(Log[Exercise],ROWS($J$4:J228)),Exercises[Exercise],Exercises[Category],"Ukendt")</f>
        <v>Isolation</v>
      </c>
      <c r="K228">
        <v>1</v>
      </c>
    </row>
    <row r="229" spans="10:11">
      <c r="J229" t="str" cm="1">
        <f t="array" ref="J229">_xlfn.XLOOKUP(INDEX(Log[Exercise],ROWS($J$4:J229)),Exercises[Exercise],Exercises[Category],"Ukendt")</f>
        <v>Core</v>
      </c>
      <c r="K229">
        <v>1</v>
      </c>
    </row>
    <row r="230" spans="10:11">
      <c r="J230" t="str" cm="1">
        <f t="array" ref="J230">_xlfn.XLOOKUP(INDEX(Log[Exercise],ROWS($J$4:J230)),Exercises[Exercise],Exercises[Category],"Ukendt")</f>
        <v>Isolation</v>
      </c>
      <c r="K230">
        <v>1</v>
      </c>
    </row>
    <row r="231" spans="10:11">
      <c r="J231" t="str" cm="1">
        <f t="array" ref="J231">_xlfn.XLOOKUP(INDEX(Log[Exercise],ROWS($J$4:J231)),Exercises[Exercise],Exercises[Category],"Ukendt")</f>
        <v>Isolation</v>
      </c>
      <c r="K231">
        <v>1</v>
      </c>
    </row>
    <row r="232" spans="10:11">
      <c r="J232" t="str" cm="1">
        <f t="array" ref="J232">_xlfn.XLOOKUP(INDEX(Log[Exercise],ROWS($J$4:J232)),Exercises[Exercise],Exercises[Category],"Ukendt")</f>
        <v>Compound</v>
      </c>
      <c r="K232">
        <v>1</v>
      </c>
    </row>
    <row r="233" spans="10:11">
      <c r="J233" t="str" cm="1">
        <f t="array" ref="J233">_xlfn.XLOOKUP(INDEX(Log[Exercise],ROWS($J$4:J233)),Exercises[Exercise],Exercises[Category],"Ukendt")</f>
        <v>Compound</v>
      </c>
      <c r="K233">
        <v>1</v>
      </c>
    </row>
    <row r="234" spans="10:11">
      <c r="J234" t="str" cm="1">
        <f t="array" ref="J234">_xlfn.XLOOKUP(INDEX(Log[Exercise],ROWS($J$4:J234)),Exercises[Exercise],Exercises[Category],"Ukendt")</f>
        <v>Stabilization</v>
      </c>
      <c r="K234">
        <v>1</v>
      </c>
    </row>
    <row r="235" spans="10:11">
      <c r="J235" t="str" cm="1">
        <f t="array" ref="J235">_xlfn.XLOOKUP(INDEX(Log[Exercise],ROWS($J$4:J235)),Exercises[Exercise],Exercises[Category],"Ukendt")</f>
        <v>Stabilization</v>
      </c>
      <c r="K235">
        <v>1</v>
      </c>
    </row>
    <row r="236" spans="10:11">
      <c r="J236" t="str" cm="1">
        <f t="array" ref="J236">_xlfn.XLOOKUP(INDEX(Log[Exercise],ROWS($J$4:J236)),Exercises[Exercise],Exercises[Category],"Ukendt")</f>
        <v>Compound</v>
      </c>
      <c r="K236">
        <v>1</v>
      </c>
    </row>
    <row r="237" spans="10:11">
      <c r="J237" t="str" cm="1">
        <f t="array" ref="J237">_xlfn.XLOOKUP(INDEX(Log[Exercise],ROWS($J$4:J237)),Exercises[Exercise],Exercises[Category],"Ukendt")</f>
        <v>Compound</v>
      </c>
      <c r="K237">
        <v>1</v>
      </c>
    </row>
    <row r="238" spans="10:11">
      <c r="J238" t="str" cm="1">
        <f t="array" ref="J238">_xlfn.XLOOKUP(INDEX(Log[Exercise],ROWS($J$4:J238)),Exercises[Exercise],Exercises[Category],"Ukendt")</f>
        <v>Compound</v>
      </c>
      <c r="K238">
        <v>1</v>
      </c>
    </row>
    <row r="239" spans="10:11">
      <c r="J239" t="str" cm="1">
        <f t="array" ref="J239">_xlfn.XLOOKUP(INDEX(Log[Exercise],ROWS($J$4:J239)),Exercises[Exercise],Exercises[Category],"Ukendt")</f>
        <v>Compound</v>
      </c>
      <c r="K239">
        <v>1</v>
      </c>
    </row>
    <row r="240" spans="10:11">
      <c r="J240" t="str" cm="1">
        <f t="array" ref="J240">_xlfn.XLOOKUP(INDEX(Log[Exercise],ROWS($J$4:J240)),Exercises[Exercise],Exercises[Category],"Ukendt")</f>
        <v>Compound</v>
      </c>
      <c r="K240">
        <v>1</v>
      </c>
    </row>
    <row r="241" spans="10:11">
      <c r="J241" t="str" cm="1">
        <f t="array" ref="J241">_xlfn.XLOOKUP(INDEX(Log[Exercise],ROWS($J$4:J241)),Exercises[Exercise],Exercises[Category],"Ukendt")</f>
        <v>Compound</v>
      </c>
      <c r="K241">
        <v>1</v>
      </c>
    </row>
    <row r="242" spans="10:11">
      <c r="J242" t="str" cm="1">
        <f t="array" ref="J242">_xlfn.XLOOKUP(INDEX(Log[Exercise],ROWS($J$4:J242)),Exercises[Exercise],Exercises[Category],"Ukendt")</f>
        <v>Compound</v>
      </c>
      <c r="K242">
        <v>1</v>
      </c>
    </row>
    <row r="243" spans="10:11">
      <c r="J243" t="str" cm="1">
        <f t="array" ref="J243">_xlfn.XLOOKUP(INDEX(Log[Exercise],ROWS($J$4:J243)),Exercises[Exercise],Exercises[Category],"Ukendt")</f>
        <v>Core</v>
      </c>
      <c r="K243">
        <v>1</v>
      </c>
    </row>
    <row r="244" spans="10:11">
      <c r="J244" t="str" cm="1">
        <f t="array" ref="J244">_xlfn.XLOOKUP(INDEX(Log[Exercise],ROWS($J$4:J244)),Exercises[Exercise],Exercises[Category],"Ukendt")</f>
        <v>Isolation</v>
      </c>
      <c r="K244">
        <v>1</v>
      </c>
    </row>
    <row r="245" spans="10:11">
      <c r="J245" t="str" cm="1">
        <f t="array" ref="J245">_xlfn.XLOOKUP(INDEX(Log[Exercise],ROWS($J$4:J245)),Exercises[Exercise],Exercises[Category],"Ukendt")</f>
        <v>Stabilization</v>
      </c>
      <c r="K245">
        <v>1</v>
      </c>
    </row>
    <row r="246" spans="10:11">
      <c r="J246" t="str" cm="1">
        <f t="array" ref="J246">_xlfn.XLOOKUP(INDEX(Log[Exercise],ROWS($J$4:J246)),Exercises[Exercise],Exercises[Category],"Ukendt")</f>
        <v>Compound</v>
      </c>
      <c r="K246">
        <v>1</v>
      </c>
    </row>
    <row r="247" spans="10:11">
      <c r="J247" t="str" cm="1">
        <f t="array" ref="J247">_xlfn.XLOOKUP(INDEX(Log[Exercise],ROWS($J$4:J247)),Exercises[Exercise],Exercises[Category],"Ukendt")</f>
        <v>Isolation</v>
      </c>
      <c r="K247">
        <v>1</v>
      </c>
    </row>
    <row r="248" spans="10:11">
      <c r="J248" t="str" cm="1">
        <f t="array" ref="J248">_xlfn.XLOOKUP(INDEX(Log[Exercise],ROWS($J$4:J248)),Exercises[Exercise],Exercises[Category],"Ukendt")</f>
        <v>Isolation</v>
      </c>
      <c r="K248">
        <v>1</v>
      </c>
    </row>
    <row r="249" spans="10:11">
      <c r="J249" t="str" cm="1">
        <f t="array" ref="J249">_xlfn.XLOOKUP(INDEX(Log[Exercise],ROWS($J$4:J249)),Exercises[Exercise],Exercises[Category],"Ukendt")</f>
        <v>Isolation</v>
      </c>
      <c r="K249">
        <v>1</v>
      </c>
    </row>
    <row r="250" spans="10:11">
      <c r="J250" t="str" cm="1">
        <f t="array" ref="J250">_xlfn.XLOOKUP(INDEX(Log[Exercise],ROWS($J$4:J250)),Exercises[Exercise],Exercises[Category],"Ukendt")</f>
        <v>Isolation</v>
      </c>
      <c r="K250">
        <v>1</v>
      </c>
    </row>
    <row r="251" spans="10:11">
      <c r="J251" t="str" cm="1">
        <f t="array" ref="J251">_xlfn.XLOOKUP(INDEX(Log[Exercise],ROWS($J$4:J251)),Exercises[Exercise],Exercises[Category],"Ukendt")</f>
        <v>Compound</v>
      </c>
      <c r="K251">
        <v>1</v>
      </c>
    </row>
    <row r="252" spans="10:11">
      <c r="J252" t="str" cm="1">
        <f t="array" ref="J252">_xlfn.XLOOKUP(INDEX(Log[Exercise],ROWS($J$4:J252)),Exercises[Exercise],Exercises[Category],"Ukendt")</f>
        <v>Isolation</v>
      </c>
      <c r="K252">
        <v>1</v>
      </c>
    </row>
    <row r="253" spans="10:11">
      <c r="J253" t="str" cm="1">
        <f t="array" ref="J253">_xlfn.XLOOKUP(INDEX(Log[Exercise],ROWS($J$4:J253)),Exercises[Exercise],Exercises[Category],"Ukendt")</f>
        <v>Compound</v>
      </c>
      <c r="K253">
        <v>1</v>
      </c>
    </row>
    <row r="254" spans="10:11">
      <c r="J254" t="str" cm="1">
        <f t="array" ref="J254">_xlfn.XLOOKUP(INDEX(Log[Exercise],ROWS($J$4:J254)),Exercises[Exercise],Exercises[Category],"Ukendt")</f>
        <v>Compound</v>
      </c>
      <c r="K254">
        <v>1</v>
      </c>
    </row>
    <row r="255" spans="10:11">
      <c r="J255" t="str" cm="1">
        <f t="array" ref="J255">_xlfn.XLOOKUP(INDEX(Log[Exercise],ROWS($J$4:J255)),Exercises[Exercise],Exercises[Category],"Ukendt")</f>
        <v>Compound</v>
      </c>
      <c r="K255">
        <v>1</v>
      </c>
    </row>
    <row r="256" spans="10:11">
      <c r="J256" t="str" cm="1">
        <f t="array" ref="J256">_xlfn.XLOOKUP(INDEX(Log[Exercise],ROWS($J$4:J256)),Exercises[Exercise],Exercises[Category],"Ukendt")</f>
        <v>Compound</v>
      </c>
      <c r="K256">
        <v>1</v>
      </c>
    </row>
    <row r="257" spans="10:11">
      <c r="J257" t="str" cm="1">
        <f t="array" ref="J257">_xlfn.XLOOKUP(INDEX(Log[Exercise],ROWS($J$4:J257)),Exercises[Exercise],Exercises[Category],"Ukendt")</f>
        <v>Compound</v>
      </c>
      <c r="K257">
        <v>1</v>
      </c>
    </row>
    <row r="258" spans="10:11">
      <c r="J258" t="str" cm="1">
        <f t="array" ref="J258">_xlfn.XLOOKUP(INDEX(Log[Exercise],ROWS($J$4:J258)),Exercises[Exercise],Exercises[Category],"Ukendt")</f>
        <v>Compound</v>
      </c>
      <c r="K258">
        <v>1</v>
      </c>
    </row>
    <row r="259" spans="10:11">
      <c r="J259" t="str" cm="1">
        <f t="array" ref="J259">_xlfn.XLOOKUP(INDEX(Log[Exercise],ROWS($J$4:J259)),Exercises[Exercise],Exercises[Category],"Ukendt")</f>
        <v>Compound</v>
      </c>
      <c r="K259">
        <v>1</v>
      </c>
    </row>
    <row r="260" spans="10:11">
      <c r="J260" t="str" cm="1">
        <f t="array" ref="J260">_xlfn.XLOOKUP(INDEX(Log[Exercise],ROWS($J$4:J260)),Exercises[Exercise],Exercises[Category],"Ukendt")</f>
        <v>Compound</v>
      </c>
      <c r="K260">
        <v>1</v>
      </c>
    </row>
    <row r="261" spans="10:11">
      <c r="J261" t="str" cm="1">
        <f t="array" ref="J261">_xlfn.XLOOKUP(INDEX(Log[Exercise],ROWS($J$4:J261)),Exercises[Exercise],Exercises[Category],"Ukendt")</f>
        <v>Compound</v>
      </c>
      <c r="K261">
        <v>1</v>
      </c>
    </row>
    <row r="262" spans="10:11">
      <c r="J262" t="str" cm="1">
        <f t="array" ref="J262">_xlfn.XLOOKUP(INDEX(Log[Exercise],ROWS($J$4:J262)),Exercises[Exercise],Exercises[Category],"Ukendt")</f>
        <v>Core</v>
      </c>
      <c r="K262">
        <v>1</v>
      </c>
    </row>
    <row r="263" spans="10:11">
      <c r="J263" t="str" cm="1">
        <f t="array" ref="J263">_xlfn.XLOOKUP(INDEX(Log[Exercise],ROWS($J$4:J263)),Exercises[Exercise],Exercises[Category],"Ukendt")</f>
        <v>Isolation</v>
      </c>
      <c r="K263">
        <v>1</v>
      </c>
    </row>
    <row r="264" spans="10:11">
      <c r="J264" t="str" cm="1">
        <f t="array" ref="J264">_xlfn.XLOOKUP(INDEX(Log[Exercise],ROWS($J$4:J264)),Exercises[Exercise],Exercises[Category],"Ukendt")</f>
        <v>Isolation</v>
      </c>
      <c r="K264">
        <v>1</v>
      </c>
    </row>
    <row r="265" spans="10:11">
      <c r="J265" t="str" cm="1">
        <f t="array" ref="J265">_xlfn.XLOOKUP(INDEX(Log[Exercise],ROWS($J$4:J265)),Exercises[Exercise],Exercises[Category],"Ukendt")</f>
        <v>Isolation</v>
      </c>
      <c r="K265">
        <v>1</v>
      </c>
    </row>
    <row r="266" spans="10:11">
      <c r="J266" t="str" cm="1">
        <f t="array" ref="J266">_xlfn.XLOOKUP(INDEX(Log[Exercise],ROWS($J$4:J266)),Exercises[Exercise],Exercises[Category],"Ukendt")</f>
        <v>Isolation</v>
      </c>
      <c r="K266">
        <v>1</v>
      </c>
    </row>
    <row r="267" spans="10:11">
      <c r="J267" t="str" cm="1">
        <f t="array" ref="J267">_xlfn.XLOOKUP(INDEX(Log[Exercise],ROWS($J$4:J267)),Exercises[Exercise],Exercises[Category],"Ukendt")</f>
        <v>Core</v>
      </c>
      <c r="K267">
        <v>1</v>
      </c>
    </row>
    <row r="268" spans="10:11">
      <c r="J268" t="str" cm="1">
        <f t="array" ref="J268">_xlfn.XLOOKUP(INDEX(Log[Exercise],ROWS($J$4:J268)),Exercises[Exercise],Exercises[Category],"Ukendt")</f>
        <v>Isolation</v>
      </c>
      <c r="K268">
        <v>1</v>
      </c>
    </row>
    <row r="269" spans="10:11">
      <c r="J269" t="str" cm="1">
        <f t="array" ref="J269">_xlfn.XLOOKUP(INDEX(Log[Exercise],ROWS($J$4:J269)),Exercises[Exercise],Exercises[Category],"Ukendt")</f>
        <v>Isolation</v>
      </c>
      <c r="K269">
        <v>1</v>
      </c>
    </row>
    <row r="270" spans="10:11">
      <c r="J270" t="str" cm="1">
        <f t="array" ref="J270">_xlfn.XLOOKUP(INDEX(Log[Exercise],ROWS($J$4:J270)),Exercises[Exercise],Exercises[Category],"Ukendt")</f>
        <v>Isolation</v>
      </c>
      <c r="K270">
        <v>1</v>
      </c>
    </row>
    <row r="271" spans="10:11">
      <c r="J271" t="str" cm="1">
        <f t="array" ref="J271">_xlfn.XLOOKUP(INDEX(Log[Exercise],ROWS($J$4:J271)),Exercises[Exercise],Exercises[Category],"Ukendt")</f>
        <v>Compound</v>
      </c>
      <c r="K271">
        <v>1</v>
      </c>
    </row>
    <row r="272" spans="10:11">
      <c r="J272" t="str" cm="1">
        <f t="array" ref="J272">_xlfn.XLOOKUP(INDEX(Log[Exercise],ROWS($J$4:J272)),Exercises[Exercise],Exercises[Category],"Ukendt")</f>
        <v>Compound</v>
      </c>
      <c r="K272">
        <v>1</v>
      </c>
    </row>
    <row r="273" spans="10:11">
      <c r="J273" t="str" cm="1">
        <f t="array" ref="J273">_xlfn.XLOOKUP(INDEX(Log[Exercise],ROWS($J$4:J273)),Exercises[Exercise],Exercises[Category],"Ukendt")</f>
        <v>Compound</v>
      </c>
      <c r="K273">
        <v>1</v>
      </c>
    </row>
    <row r="274" spans="10:11">
      <c r="J274" t="str" cm="1">
        <f t="array" ref="J274">_xlfn.XLOOKUP(INDEX(Log[Exercise],ROWS($J$4:J274)),Exercises[Exercise],Exercises[Category],"Ukendt")</f>
        <v>Compound</v>
      </c>
      <c r="K274">
        <v>1</v>
      </c>
    </row>
    <row r="275" spans="10:11">
      <c r="J275" t="str" cm="1">
        <f t="array" ref="J275">_xlfn.XLOOKUP(INDEX(Log[Exercise],ROWS($J$4:J275)),Exercises[Exercise],Exercises[Category],"Ukendt")</f>
        <v>Stabilization</v>
      </c>
      <c r="K275">
        <v>1</v>
      </c>
    </row>
    <row r="276" spans="10:11">
      <c r="J276" t="str" cm="1">
        <f t="array" ref="J276">_xlfn.XLOOKUP(INDEX(Log[Exercise],ROWS($J$4:J276)),Exercises[Exercise],Exercises[Category],"Ukendt")</f>
        <v>Compound</v>
      </c>
      <c r="K276">
        <v>1</v>
      </c>
    </row>
    <row r="277" spans="10:11">
      <c r="J277" t="str" cm="1">
        <f t="array" ref="J277">_xlfn.XLOOKUP(INDEX(Log[Exercise],ROWS($J$4:J277)),Exercises[Exercise],Exercises[Category],"Ukendt")</f>
        <v>Compound</v>
      </c>
      <c r="K277">
        <v>1</v>
      </c>
    </row>
    <row r="278" spans="10:11">
      <c r="J278" t="str" cm="1">
        <f t="array" ref="J278">_xlfn.XLOOKUP(INDEX(Log[Exercise],ROWS($J$4:J278)),Exercises[Exercise],Exercises[Category],"Ukendt")</f>
        <v>Compound</v>
      </c>
      <c r="K278">
        <v>1</v>
      </c>
    </row>
    <row r="279" spans="10:11">
      <c r="J279" t="str" cm="1">
        <f t="array" ref="J279">_xlfn.XLOOKUP(INDEX(Log[Exercise],ROWS($J$4:J279)),Exercises[Exercise],Exercises[Category],"Ukendt")</f>
        <v>Compound</v>
      </c>
      <c r="K279">
        <v>1</v>
      </c>
    </row>
    <row r="280" spans="10:11">
      <c r="J280" t="str" cm="1">
        <f t="array" ref="J280">_xlfn.XLOOKUP(INDEX(Log[Exercise],ROWS($J$4:J280)),Exercises[Exercise],Exercises[Category],"Ukendt")</f>
        <v>Compound</v>
      </c>
      <c r="K280">
        <v>1</v>
      </c>
    </row>
    <row r="281" spans="10:11">
      <c r="J281" t="str" cm="1">
        <f t="array" ref="J281">_xlfn.XLOOKUP(INDEX(Log[Exercise],ROWS($J$4:J281)),Exercises[Exercise],Exercises[Category],"Ukendt")</f>
        <v>Compound</v>
      </c>
      <c r="K281">
        <v>1</v>
      </c>
    </row>
    <row r="282" spans="10:11">
      <c r="J282" t="str" cm="1">
        <f t="array" ref="J282">_xlfn.XLOOKUP(INDEX(Log[Exercise],ROWS($J$4:J282)),Exercises[Exercise],Exercises[Category],"Ukendt")</f>
        <v>Isolation</v>
      </c>
      <c r="K282">
        <v>1</v>
      </c>
    </row>
    <row r="283" spans="10:11">
      <c r="J283" t="str" cm="1">
        <f t="array" ref="J283">_xlfn.XLOOKUP(INDEX(Log[Exercise],ROWS($J$4:J283)),Exercises[Exercise],Exercises[Category],"Ukendt")</f>
        <v>Core</v>
      </c>
      <c r="K283">
        <v>1</v>
      </c>
    </row>
    <row r="284" spans="10:11">
      <c r="J284" t="str" cm="1">
        <f t="array" ref="J284">_xlfn.XLOOKUP(INDEX(Log[Exercise],ROWS($J$4:J284)),Exercises[Exercise],Exercises[Category],"Ukendt")</f>
        <v>Isolation</v>
      </c>
      <c r="K284">
        <v>1</v>
      </c>
    </row>
    <row r="285" spans="10:11">
      <c r="J285" t="str" cm="1">
        <f t="array" ref="J285">_xlfn.XLOOKUP(INDEX(Log[Exercise],ROWS($J$4:J285)),Exercises[Exercise],Exercises[Category],"Ukendt")</f>
        <v>Isolation</v>
      </c>
      <c r="K285">
        <v>1</v>
      </c>
    </row>
    <row r="286" spans="10:11">
      <c r="J286" t="str" cm="1">
        <f t="array" ref="J286">_xlfn.XLOOKUP(INDEX(Log[Exercise],ROWS($J$4:J286)),Exercises[Exercise],Exercises[Category],"Ukendt")</f>
        <v>Stabilization</v>
      </c>
      <c r="K286">
        <v>1</v>
      </c>
    </row>
    <row r="287" spans="10:11">
      <c r="J287" t="str" cm="1">
        <f t="array" ref="J287">_xlfn.XLOOKUP(INDEX(Log[Exercise],ROWS($J$4:J287)),Exercises[Exercise],Exercises[Category],"Ukendt")</f>
        <v>Compound</v>
      </c>
      <c r="K287">
        <v>1</v>
      </c>
    </row>
    <row r="288" spans="10:11">
      <c r="J288" t="str" cm="1">
        <f t="array" ref="J288">_xlfn.XLOOKUP(INDEX(Log[Exercise],ROWS($J$4:J288)),Exercises[Exercise],Exercises[Category],"Ukendt")</f>
        <v>Compound</v>
      </c>
      <c r="K288">
        <v>1</v>
      </c>
    </row>
    <row r="289" spans="10:11">
      <c r="J289" t="str" cm="1">
        <f t="array" ref="J289">_xlfn.XLOOKUP(INDEX(Log[Exercise],ROWS($J$4:J289)),Exercises[Exercise],Exercises[Category],"Ukendt")</f>
        <v>Isolation</v>
      </c>
      <c r="K289">
        <v>1</v>
      </c>
    </row>
    <row r="290" spans="10:11">
      <c r="J290" t="str" cm="1">
        <f t="array" ref="J290">_xlfn.XLOOKUP(INDEX(Log[Exercise],ROWS($J$4:J290)),Exercises[Exercise],Exercises[Category],"Ukendt")</f>
        <v>Compound</v>
      </c>
      <c r="K290">
        <v>1</v>
      </c>
    </row>
    <row r="291" spans="10:11">
      <c r="J291" t="str" cm="1">
        <f t="array" ref="J291">_xlfn.XLOOKUP(INDEX(Log[Exercise],ROWS($J$4:J291)),Exercises[Exercise],Exercises[Category],"Ukendt")</f>
        <v>Stabilization</v>
      </c>
      <c r="K291">
        <v>1</v>
      </c>
    </row>
    <row r="292" spans="10:11">
      <c r="J292" t="str" cm="1">
        <f t="array" ref="J292">_xlfn.XLOOKUP(INDEX(Log[Exercise],ROWS($J$4:J292)),Exercises[Exercise],Exercises[Category],"Ukendt")</f>
        <v>Compound</v>
      </c>
      <c r="K292">
        <v>1</v>
      </c>
    </row>
    <row r="293" spans="10:11">
      <c r="J293" t="str" cm="1">
        <f t="array" ref="J293">_xlfn.XLOOKUP(INDEX(Log[Exercise],ROWS($J$4:J293)),Exercises[Exercise],Exercises[Category],"Ukendt")</f>
        <v>Compound</v>
      </c>
      <c r="K293">
        <v>1</v>
      </c>
    </row>
    <row r="294" spans="10:11">
      <c r="J294" t="str" cm="1">
        <f t="array" ref="J294">_xlfn.XLOOKUP(INDEX(Log[Exercise],ROWS($J$4:J294)),Exercises[Exercise],Exercises[Category],"Ukendt")</f>
        <v>Compound</v>
      </c>
      <c r="K294">
        <v>1</v>
      </c>
    </row>
    <row r="295" spans="10:11">
      <c r="J295" t="str" cm="1">
        <f t="array" ref="J295">_xlfn.XLOOKUP(INDEX(Log[Exercise],ROWS($J$4:J295)),Exercises[Exercise],Exercises[Category],"Ukendt")</f>
        <v>Compound</v>
      </c>
      <c r="K295">
        <v>1</v>
      </c>
    </row>
    <row r="296" spans="10:11">
      <c r="J296" t="str" cm="1">
        <f t="array" ref="J296">_xlfn.XLOOKUP(INDEX(Log[Exercise],ROWS($J$4:J296)),Exercises[Exercise],Exercises[Category],"Ukendt")</f>
        <v>Compound</v>
      </c>
      <c r="K296">
        <v>1</v>
      </c>
    </row>
    <row r="297" spans="10:11">
      <c r="J297" t="str" cm="1">
        <f t="array" ref="J297">_xlfn.XLOOKUP(INDEX(Log[Exercise],ROWS($J$4:J297)),Exercises[Exercise],Exercises[Category],"Ukendt")</f>
        <v>Isolation</v>
      </c>
      <c r="K297">
        <v>1</v>
      </c>
    </row>
    <row r="298" spans="10:11">
      <c r="J298" t="str" cm="1">
        <f t="array" ref="J298">_xlfn.XLOOKUP(INDEX(Log[Exercise],ROWS($J$4:J298)),Exercises[Exercise],Exercises[Category],"Ukendt")</f>
        <v>Compound</v>
      </c>
      <c r="K298">
        <v>1</v>
      </c>
    </row>
    <row r="299" spans="10:11">
      <c r="J299" t="str" cm="1">
        <f t="array" ref="J299">_xlfn.XLOOKUP(INDEX(Log[Exercise],ROWS($J$4:J299)),Exercises[Exercise],Exercises[Category],"Ukendt")</f>
        <v>Stabilization</v>
      </c>
      <c r="K299">
        <v>1</v>
      </c>
    </row>
    <row r="300" spans="10:11">
      <c r="J300" t="str" cm="1">
        <f t="array" ref="J300">_xlfn.XLOOKUP(INDEX(Log[Exercise],ROWS($J$4:J300)),Exercises[Exercise],Exercises[Category],"Ukendt")</f>
        <v>Isolation</v>
      </c>
      <c r="K300">
        <v>1</v>
      </c>
    </row>
    <row r="301" spans="10:11">
      <c r="J301" t="str" cm="1">
        <f t="array" ref="J301">_xlfn.XLOOKUP(INDEX(Log[Exercise],ROWS($J$4:J301)),Exercises[Exercise],Exercises[Category],"Ukendt")</f>
        <v>Isolation</v>
      </c>
      <c r="K301">
        <v>1</v>
      </c>
    </row>
    <row r="302" spans="10:11">
      <c r="J302" t="str" cm="1">
        <f t="array" ref="J302">_xlfn.XLOOKUP(INDEX(Log[Exercise],ROWS($J$4:J302)),Exercises[Exercise],Exercises[Category],"Ukendt")</f>
        <v>Compound</v>
      </c>
      <c r="K302">
        <v>1</v>
      </c>
    </row>
    <row r="303" spans="10:11">
      <c r="J303" t="str" cm="1">
        <f t="array" ref="J303">_xlfn.XLOOKUP(INDEX(Log[Exercise],ROWS($J$4:J303)),Exercises[Exercise],Exercises[Category],"Ukendt")</f>
        <v>Compound</v>
      </c>
      <c r="K303">
        <v>1</v>
      </c>
    </row>
    <row r="304" spans="10:11">
      <c r="J304" t="str" cm="1">
        <f t="array" ref="J304">_xlfn.XLOOKUP(INDEX(Log[Exercise],ROWS($J$4:J304)),Exercises[Exercise],Exercises[Category],"Ukendt")</f>
        <v>Compound</v>
      </c>
      <c r="K304">
        <v>1</v>
      </c>
    </row>
    <row r="305" spans="10:11">
      <c r="J305" t="str" cm="1">
        <f t="array" ref="J305">_xlfn.XLOOKUP(INDEX(Log[Exercise],ROWS($J$4:J305)),Exercises[Exercise],Exercises[Category],"Ukendt")</f>
        <v>Compound</v>
      </c>
      <c r="K305">
        <v>1</v>
      </c>
    </row>
    <row r="306" spans="10:11">
      <c r="J306" t="str" cm="1">
        <f t="array" ref="J306">_xlfn.XLOOKUP(INDEX(Log[Exercise],ROWS($J$4:J306)),Exercises[Exercise],Exercises[Category],"Ukendt")</f>
        <v>Compound</v>
      </c>
      <c r="K306">
        <v>1</v>
      </c>
    </row>
    <row r="307" spans="10:11">
      <c r="J307" t="str" cm="1">
        <f t="array" ref="J307">_xlfn.XLOOKUP(INDEX(Log[Exercise],ROWS($J$4:J307)),Exercises[Exercise],Exercises[Category],"Ukendt")</f>
        <v>Compound</v>
      </c>
      <c r="K307">
        <v>1</v>
      </c>
    </row>
    <row r="308" spans="10:11">
      <c r="J308" t="str" cm="1">
        <f t="array" ref="J308">_xlfn.XLOOKUP(INDEX(Log[Exercise],ROWS($J$4:J308)),Exercises[Exercise],Exercises[Category],"Ukendt")</f>
        <v>Compound</v>
      </c>
      <c r="K308">
        <v>1</v>
      </c>
    </row>
    <row r="309" spans="10:11">
      <c r="J309" t="str" cm="1">
        <f t="array" ref="J309">_xlfn.XLOOKUP(INDEX(Log[Exercise],ROWS($J$4:J309)),Exercises[Exercise],Exercises[Category],"Ukendt")</f>
        <v>Core</v>
      </c>
      <c r="K309">
        <v>1</v>
      </c>
    </row>
    <row r="310" spans="10:11">
      <c r="J310" t="str" cm="1">
        <f t="array" ref="J310">_xlfn.XLOOKUP(INDEX(Log[Exercise],ROWS($J$4:J310)),Exercises[Exercise],Exercises[Category],"Ukendt")</f>
        <v>Compound</v>
      </c>
      <c r="K310">
        <v>1</v>
      </c>
    </row>
    <row r="311" spans="10:11">
      <c r="J311" t="str" cm="1">
        <f t="array" ref="J311">_xlfn.XLOOKUP(INDEX(Log[Exercise],ROWS($J$4:J311)),Exercises[Exercise],Exercises[Category],"Ukendt")</f>
        <v>Compound</v>
      </c>
      <c r="K311">
        <v>1</v>
      </c>
    </row>
    <row r="312" spans="10:11">
      <c r="J312" t="str" cm="1">
        <f t="array" ref="J312">_xlfn.XLOOKUP(INDEX(Log[Exercise],ROWS($J$4:J312)),Exercises[Exercise],Exercises[Category],"Ukendt")</f>
        <v>Compound</v>
      </c>
      <c r="K312">
        <v>1</v>
      </c>
    </row>
    <row r="313" spans="10:11">
      <c r="J313" t="str" cm="1">
        <f t="array" ref="J313">_xlfn.XLOOKUP(INDEX(Log[Exercise],ROWS($J$4:J313)),Exercises[Exercise],Exercises[Category],"Ukendt")</f>
        <v>Isolation</v>
      </c>
      <c r="K313">
        <v>1</v>
      </c>
    </row>
    <row r="314" spans="10:11">
      <c r="J314" t="str" cm="1">
        <f t="array" ref="J314">_xlfn.XLOOKUP(INDEX(Log[Exercise],ROWS($J$4:J314)),Exercises[Exercise],Exercises[Category],"Ukendt")</f>
        <v>Compound</v>
      </c>
      <c r="K314">
        <v>1</v>
      </c>
    </row>
    <row r="315" spans="10:11">
      <c r="J315" t="str" cm="1">
        <f t="array" ref="J315">_xlfn.XLOOKUP(INDEX(Log[Exercise],ROWS($J$4:J315)),Exercises[Exercise],Exercises[Category],"Ukendt")</f>
        <v>Isolation</v>
      </c>
      <c r="K315">
        <v>1</v>
      </c>
    </row>
    <row r="316" spans="10:11">
      <c r="J316" t="str" cm="1">
        <f t="array" ref="J316">_xlfn.XLOOKUP(INDEX(Log[Exercise],ROWS($J$4:J316)),Exercises[Exercise],Exercises[Category],"Ukendt")</f>
        <v>Compound</v>
      </c>
      <c r="K316">
        <v>1</v>
      </c>
    </row>
    <row r="317" spans="10:11">
      <c r="J317" t="str" cm="1">
        <f t="array" ref="J317">_xlfn.XLOOKUP(INDEX(Log[Exercise],ROWS($J$4:J317)),Exercises[Exercise],Exercises[Category],"Ukendt")</f>
        <v>Stabilization</v>
      </c>
      <c r="K317">
        <v>1</v>
      </c>
    </row>
    <row r="318" spans="10:11">
      <c r="J318" t="str" cm="1">
        <f t="array" ref="J318">_xlfn.XLOOKUP(INDEX(Log[Exercise],ROWS($J$4:J318)),Exercises[Exercise],Exercises[Category],"Ukendt")</f>
        <v>Isolation</v>
      </c>
      <c r="K318">
        <v>1</v>
      </c>
    </row>
    <row r="319" spans="10:11">
      <c r="J319" t="str" cm="1">
        <f t="array" ref="J319">_xlfn.XLOOKUP(INDEX(Log[Exercise],ROWS($J$4:J319)),Exercises[Exercise],Exercises[Category],"Ukendt")</f>
        <v>Isolation</v>
      </c>
      <c r="K319">
        <v>1</v>
      </c>
    </row>
    <row r="320" spans="10:11">
      <c r="J320" t="str" cm="1">
        <f t="array" ref="J320">_xlfn.XLOOKUP(INDEX(Log[Exercise],ROWS($J$4:J320)),Exercises[Exercise],Exercises[Category],"Ukendt")</f>
        <v>Core</v>
      </c>
      <c r="K320">
        <v>1</v>
      </c>
    </row>
    <row r="321" spans="10:11">
      <c r="J321" t="str" cm="1">
        <f t="array" ref="J321">_xlfn.XLOOKUP(INDEX(Log[Exercise],ROWS($J$4:J321)),Exercises[Exercise],Exercises[Category],"Ukendt")</f>
        <v>Compound</v>
      </c>
      <c r="K321">
        <v>1</v>
      </c>
    </row>
    <row r="322" spans="10:11">
      <c r="J322" t="str" cm="1">
        <f t="array" ref="J322">_xlfn.XLOOKUP(INDEX(Log[Exercise],ROWS($J$4:J322)),Exercises[Exercise],Exercises[Category],"Ukendt")</f>
        <v>Compound</v>
      </c>
      <c r="K322">
        <v>1</v>
      </c>
    </row>
    <row r="323" spans="10:11">
      <c r="J323" t="str" cm="1">
        <f t="array" ref="J323">_xlfn.XLOOKUP(INDEX(Log[Exercise],ROWS($J$4:J323)),Exercises[Exercise],Exercises[Category],"Ukendt")</f>
        <v>Compound</v>
      </c>
      <c r="K323">
        <v>1</v>
      </c>
    </row>
    <row r="324" spans="10:11">
      <c r="J324" t="str" cm="1">
        <f t="array" ref="J324">_xlfn.XLOOKUP(INDEX(Log[Exercise],ROWS($J$4:J324)),Exercises[Exercise],Exercises[Category],"Ukendt")</f>
        <v>Compound</v>
      </c>
      <c r="K324">
        <v>1</v>
      </c>
    </row>
    <row r="325" spans="10:11">
      <c r="J325" t="str" cm="1">
        <f t="array" ref="J325">_xlfn.XLOOKUP(INDEX(Log[Exercise],ROWS($J$4:J325)),Exercises[Exercise],Exercises[Category],"Ukendt")</f>
        <v>Compound</v>
      </c>
      <c r="K325">
        <v>1</v>
      </c>
    </row>
    <row r="326" spans="10:11">
      <c r="J326" t="str" cm="1">
        <f t="array" ref="J326">_xlfn.XLOOKUP(INDEX(Log[Exercise],ROWS($J$4:J326)),Exercises[Exercise],Exercises[Category],"Ukendt")</f>
        <v>Compound</v>
      </c>
      <c r="K326">
        <v>1</v>
      </c>
    </row>
    <row r="327" spans="10:11">
      <c r="J327" t="str" cm="1">
        <f t="array" ref="J327">_xlfn.XLOOKUP(INDEX(Log[Exercise],ROWS($J$4:J327)),Exercises[Exercise],Exercises[Category],"Ukendt")</f>
        <v>Isolation</v>
      </c>
      <c r="K327">
        <v>1</v>
      </c>
    </row>
    <row r="328" spans="10:11">
      <c r="J328" t="str" cm="1">
        <f t="array" ref="J328">_xlfn.XLOOKUP(INDEX(Log[Exercise],ROWS($J$4:J328)),Exercises[Exercise],Exercises[Category],"Ukendt")</f>
        <v>Stabilization</v>
      </c>
      <c r="K328">
        <v>1</v>
      </c>
    </row>
    <row r="329" spans="10:11">
      <c r="J329" t="str" cm="1">
        <f t="array" ref="J329">_xlfn.XLOOKUP(INDEX(Log[Exercise],ROWS($J$4:J329)),Exercises[Exercise],Exercises[Category],"Ukendt")</f>
        <v>Compound</v>
      </c>
      <c r="K329">
        <v>1</v>
      </c>
    </row>
    <row r="330" spans="10:11">
      <c r="J330" t="str" cm="1">
        <f t="array" ref="J330">_xlfn.XLOOKUP(INDEX(Log[Exercise],ROWS($J$4:J330)),Exercises[Exercise],Exercises[Category],"Ukendt")</f>
        <v>Compound</v>
      </c>
      <c r="K330">
        <v>1</v>
      </c>
    </row>
    <row r="331" spans="10:11">
      <c r="J331" t="str" cm="1">
        <f t="array" ref="J331">_xlfn.XLOOKUP(INDEX(Log[Exercise],ROWS($J$4:J331)),Exercises[Exercise],Exercises[Category],"Ukendt")</f>
        <v>Isolation</v>
      </c>
      <c r="K331">
        <v>1</v>
      </c>
    </row>
    <row r="332" spans="10:11">
      <c r="J332" t="str" cm="1">
        <f t="array" ref="J332">_xlfn.XLOOKUP(INDEX(Log[Exercise],ROWS($J$4:J332)),Exercises[Exercise],Exercises[Category],"Ukendt")</f>
        <v>Isolation</v>
      </c>
      <c r="K332">
        <v>1</v>
      </c>
    </row>
    <row r="333" spans="10:11">
      <c r="J333" t="str" cm="1">
        <f t="array" ref="J333">_xlfn.XLOOKUP(INDEX(Log[Exercise],ROWS($J$4:J333)),Exercises[Exercise],Exercises[Category],"Ukendt")</f>
        <v>Core</v>
      </c>
      <c r="K333">
        <v>1</v>
      </c>
    </row>
    <row r="334" spans="10:11">
      <c r="J334" t="str" cm="1">
        <f t="array" ref="J334">_xlfn.XLOOKUP(INDEX(Log[Exercise],ROWS($J$4:J334)),Exercises[Exercise],Exercises[Category],"Ukendt")</f>
        <v>Compound</v>
      </c>
      <c r="K334">
        <v>1</v>
      </c>
    </row>
    <row r="335" spans="10:11">
      <c r="J335" t="str" cm="1">
        <f t="array" ref="J335">_xlfn.XLOOKUP(INDEX(Log[Exercise],ROWS($J$4:J335)),Exercises[Exercise],Exercises[Category],"Ukendt")</f>
        <v>Isolation</v>
      </c>
      <c r="K335">
        <v>1</v>
      </c>
    </row>
    <row r="336" spans="10:11">
      <c r="J336" t="str" cm="1">
        <f t="array" ref="J336">_xlfn.XLOOKUP(INDEX(Log[Exercise],ROWS($J$4:J336)),Exercises[Exercise],Exercises[Category],"Ukendt")</f>
        <v>Isolation</v>
      </c>
      <c r="K336">
        <v>1</v>
      </c>
    </row>
    <row r="337" spans="10:11">
      <c r="J337" t="str" cm="1">
        <f t="array" ref="J337">_xlfn.XLOOKUP(INDEX(Log[Exercise],ROWS($J$4:J337)),Exercises[Exercise],Exercises[Category],"Ukendt")</f>
        <v>Isolation</v>
      </c>
      <c r="K337">
        <v>1</v>
      </c>
    </row>
    <row r="338" spans="10:11">
      <c r="J338" t="str" cm="1">
        <f t="array" ref="J338">_xlfn.XLOOKUP(INDEX(Log[Exercise],ROWS($J$4:J338)),Exercises[Exercise],Exercises[Category],"Ukendt")</f>
        <v>Ukendt</v>
      </c>
      <c r="K338">
        <v>1</v>
      </c>
    </row>
    <row r="339" spans="10:11">
      <c r="J339" t="str" cm="1">
        <f t="array" ref="J339">_xlfn.XLOOKUP(INDEX(Log[Exercise],ROWS($J$4:J339)),Exercises[Exercise],Exercises[Category],"Ukendt")</f>
        <v>Compound</v>
      </c>
      <c r="K339">
        <v>1</v>
      </c>
    </row>
    <row r="340" spans="10:11">
      <c r="J340" t="str" cm="1">
        <f t="array" ref="J340">_xlfn.XLOOKUP(INDEX(Log[Exercise],ROWS($J$4:J340)),Exercises[Exercise],Exercises[Category],"Ukendt")</f>
        <v>Compound</v>
      </c>
      <c r="K340">
        <v>1</v>
      </c>
    </row>
    <row r="341" spans="10:11">
      <c r="J341" t="str" cm="1">
        <f t="array" ref="J341">_xlfn.XLOOKUP(INDEX(Log[Exercise],ROWS($J$4:J341)),Exercises[Exercise],Exercises[Category],"Ukendt")</f>
        <v>Stabilization</v>
      </c>
      <c r="K341">
        <v>1</v>
      </c>
    </row>
    <row r="342" spans="10:11">
      <c r="J342" t="str" cm="1">
        <f t="array" ref="J342">_xlfn.XLOOKUP(INDEX(Log[Exercise],ROWS($J$4:J342)),Exercises[Exercise],Exercises[Category],"Ukendt")</f>
        <v>Compound</v>
      </c>
      <c r="K342">
        <v>1</v>
      </c>
    </row>
    <row r="343" spans="10:11">
      <c r="J343" t="str" cm="1">
        <f t="array" ref="J343">_xlfn.XLOOKUP(INDEX(Log[Exercise],ROWS($J$4:J343)),Exercises[Exercise],Exercises[Category],"Ukendt")</f>
        <v>Compound</v>
      </c>
      <c r="K343">
        <v>1</v>
      </c>
    </row>
    <row r="344" spans="10:11">
      <c r="J344" t="str" cm="1">
        <f t="array" ref="J344">_xlfn.XLOOKUP(INDEX(Log[Exercise],ROWS($J$4:J344)),Exercises[Exercise],Exercises[Category],"Ukendt")</f>
        <v>Compound</v>
      </c>
      <c r="K344">
        <v>1</v>
      </c>
    </row>
    <row r="345" spans="10:11">
      <c r="J345" t="str" cm="1">
        <f t="array" ref="J345">_xlfn.XLOOKUP(INDEX(Log[Exercise],ROWS($J$4:J345)),Exercises[Exercise],Exercises[Category],"Ukendt")</f>
        <v>Compound</v>
      </c>
      <c r="K345">
        <v>1</v>
      </c>
    </row>
    <row r="346" spans="10:11">
      <c r="J346" t="str" cm="1">
        <f t="array" ref="J346">_xlfn.XLOOKUP(INDEX(Log[Exercise],ROWS($J$4:J346)),Exercises[Exercise],Exercises[Category],"Ukendt")</f>
        <v>Isolation</v>
      </c>
      <c r="K346">
        <v>1</v>
      </c>
    </row>
    <row r="347" spans="10:11">
      <c r="J347" t="str" cm="1">
        <f t="array" ref="J347">_xlfn.XLOOKUP(INDEX(Log[Exercise],ROWS($J$4:J347)),Exercises[Exercise],Exercises[Category],"Ukendt")</f>
        <v>Stabilization</v>
      </c>
      <c r="K347">
        <v>1</v>
      </c>
    </row>
    <row r="348" spans="10:11">
      <c r="J348" t="str" cm="1">
        <f t="array" ref="J348">_xlfn.XLOOKUP(INDEX(Log[Exercise],ROWS($J$4:J348)),Exercises[Exercise],Exercises[Category],"Ukendt")</f>
        <v>Compound</v>
      </c>
      <c r="K348">
        <v>1</v>
      </c>
    </row>
    <row r="349" spans="10:11">
      <c r="J349" t="str" cm="1">
        <f t="array" ref="J349">_xlfn.XLOOKUP(INDEX(Log[Exercise],ROWS($J$4:J349)),Exercises[Exercise],Exercises[Category],"Ukendt")</f>
        <v>Compound</v>
      </c>
      <c r="K349">
        <v>1</v>
      </c>
    </row>
    <row r="350" spans="10:11">
      <c r="J350" t="str" cm="1">
        <f t="array" ref="J350">_xlfn.XLOOKUP(INDEX(Log[Exercise],ROWS($J$4:J350)),Exercises[Exercise],Exercises[Category],"Ukendt")</f>
        <v>Isolation</v>
      </c>
      <c r="K350">
        <v>1</v>
      </c>
    </row>
    <row r="351" spans="10:11">
      <c r="J351" t="str" cm="1">
        <f t="array" ref="J351">_xlfn.XLOOKUP(INDEX(Log[Exercise],ROWS($J$4:J351)),Exercises[Exercise],Exercises[Category],"Ukendt")</f>
        <v>Compound</v>
      </c>
      <c r="K351">
        <v>1</v>
      </c>
    </row>
    <row r="352" spans="10:11">
      <c r="J352" t="str" cm="1">
        <f t="array" ref="J352">_xlfn.XLOOKUP(INDEX(Log[Exercise],ROWS($J$4:J352)),Exercises[Exercise],Exercises[Category],"Ukendt")</f>
        <v>Isolation</v>
      </c>
      <c r="K352">
        <v>1</v>
      </c>
    </row>
    <row r="353" spans="10:11">
      <c r="J353" t="str" cm="1">
        <f t="array" ref="J353">_xlfn.XLOOKUP(INDEX(Log[Exercise],ROWS($J$4:J353)),Exercises[Exercise],Exercises[Category],"Ukendt")</f>
        <v>Isolation</v>
      </c>
      <c r="K353">
        <v>1</v>
      </c>
    </row>
    <row r="354" spans="10:11">
      <c r="J354" t="str" cm="1">
        <f t="array" ref="J354">_xlfn.XLOOKUP(INDEX(Log[Exercise],ROWS($J$4:J354)),Exercises[Exercise],Exercises[Category],"Ukendt")</f>
        <v>Isolation</v>
      </c>
      <c r="K354">
        <v>1</v>
      </c>
    </row>
    <row r="355" spans="10:11">
      <c r="J355" t="str" cm="1">
        <f t="array" ref="J355">_xlfn.XLOOKUP(INDEX(Log[Exercise],ROWS($J$4:J355)),Exercises[Exercise],Exercises[Category],"Ukendt")</f>
        <v>Compound</v>
      </c>
      <c r="K355">
        <v>1</v>
      </c>
    </row>
    <row r="356" spans="10:11">
      <c r="J356" t="str" cm="1">
        <f t="array" ref="J356">_xlfn.XLOOKUP(INDEX(Log[Exercise],ROWS($J$4:J356)),Exercises[Exercise],Exercises[Category],"Ukendt")</f>
        <v>Compound</v>
      </c>
      <c r="K356">
        <v>1</v>
      </c>
    </row>
    <row r="357" spans="10:11">
      <c r="J357" t="str" cm="1">
        <f t="array" ref="J357">_xlfn.XLOOKUP(INDEX(Log[Exercise],ROWS($J$4:J357)),Exercises[Exercise],Exercises[Category],"Ukendt")</f>
        <v>Compound</v>
      </c>
      <c r="K357">
        <v>1</v>
      </c>
    </row>
    <row r="358" spans="10:11">
      <c r="J358" t="str" cm="1">
        <f t="array" ref="J358">_xlfn.XLOOKUP(INDEX(Log[Exercise],ROWS($J$4:J358)),Exercises[Exercise],Exercises[Category],"Ukendt")</f>
        <v>Stabilization</v>
      </c>
      <c r="K358">
        <v>1</v>
      </c>
    </row>
    <row r="359" spans="10:11">
      <c r="J359" t="str" cm="1">
        <f t="array" ref="J359">_xlfn.XLOOKUP(INDEX(Log[Exercise],ROWS($J$4:J359)),Exercises[Exercise],Exercises[Category],"Ukendt")</f>
        <v>Compound</v>
      </c>
      <c r="K359">
        <v>1</v>
      </c>
    </row>
    <row r="360" spans="10:11">
      <c r="J360" t="str" cm="1">
        <f t="array" ref="J360">_xlfn.XLOOKUP(INDEX(Log[Exercise],ROWS($J$4:J360)),Exercises[Exercise],Exercises[Category],"Ukendt")</f>
        <v>Compound</v>
      </c>
      <c r="K360">
        <v>1</v>
      </c>
    </row>
    <row r="361" spans="10:11">
      <c r="J361" t="str" cm="1">
        <f t="array" ref="J361">_xlfn.XLOOKUP(INDEX(Log[Exercise],ROWS($J$4:J361)),Exercises[Exercise],Exercises[Category],"Ukendt")</f>
        <v>Compound</v>
      </c>
      <c r="K361">
        <v>1</v>
      </c>
    </row>
    <row r="362" spans="10:11">
      <c r="J362" t="str" cm="1">
        <f t="array" ref="J362">_xlfn.XLOOKUP(INDEX(Log[Exercise],ROWS($J$4:J362)),Exercises[Exercise],Exercises[Category],"Ukendt")</f>
        <v>Isolation</v>
      </c>
      <c r="K362">
        <v>1</v>
      </c>
    </row>
    <row r="363" spans="10:11">
      <c r="J363" t="str" cm="1">
        <f t="array" ref="J363">_xlfn.XLOOKUP(INDEX(Log[Exercise],ROWS($J$4:J363)),Exercises[Exercise],Exercises[Category],"Ukendt")</f>
        <v>Stabilization</v>
      </c>
      <c r="K363">
        <v>1</v>
      </c>
    </row>
    <row r="364" spans="10:11">
      <c r="J364" t="str" cm="1">
        <f t="array" ref="J364">_xlfn.XLOOKUP(INDEX(Log[Exercise],ROWS($J$4:J364)),Exercises[Exercise],Exercises[Category],"Ukendt")</f>
        <v>Compound</v>
      </c>
      <c r="K364">
        <v>1</v>
      </c>
    </row>
    <row r="365" spans="10:11">
      <c r="J365" t="str" cm="1">
        <f t="array" ref="J365">_xlfn.XLOOKUP(INDEX(Log[Exercise],ROWS($J$4:J365)),Exercises[Exercise],Exercises[Category],"Ukendt")</f>
        <v>Compound</v>
      </c>
      <c r="K365">
        <v>1</v>
      </c>
    </row>
    <row r="366" spans="10:11">
      <c r="J366" t="str" cm="1">
        <f t="array" ref="J366">_xlfn.XLOOKUP(INDEX(Log[Exercise],ROWS($J$4:J366)),Exercises[Exercise],Exercises[Category],"Ukendt")</f>
        <v>Compound</v>
      </c>
      <c r="K366">
        <v>1</v>
      </c>
    </row>
    <row r="367" spans="10:11">
      <c r="J367" t="str" cm="1">
        <f t="array" ref="J367">_xlfn.XLOOKUP(INDEX(Log[Exercise],ROWS($J$4:J367)),Exercises[Exercise],Exercises[Category],"Ukendt")</f>
        <v>Compound</v>
      </c>
      <c r="K367">
        <v>1</v>
      </c>
    </row>
    <row r="368" spans="10:11">
      <c r="J368" t="str" cm="1">
        <f t="array" ref="J368">_xlfn.XLOOKUP(INDEX(Log[Exercise],ROWS($J$4:J368)),Exercises[Exercise],Exercises[Category],"Ukendt")</f>
        <v>Core</v>
      </c>
      <c r="K368">
        <v>1</v>
      </c>
    </row>
    <row r="369" spans="10:11">
      <c r="J369" t="str" cm="1">
        <f t="array" ref="J369">_xlfn.XLOOKUP(INDEX(Log[Exercise],ROWS($J$4:J369)),Exercises[Exercise],Exercises[Category],"Ukendt")</f>
        <v>Compound</v>
      </c>
      <c r="K369">
        <v>1</v>
      </c>
    </row>
    <row r="370" spans="10:11">
      <c r="J370" t="str" cm="1">
        <f t="array" ref="J370">_xlfn.XLOOKUP(INDEX(Log[Exercise],ROWS($J$4:J370)),Exercises[Exercise],Exercises[Category],"Ukendt")</f>
        <v>Compound</v>
      </c>
      <c r="K370">
        <v>1</v>
      </c>
    </row>
    <row r="371" spans="10:11">
      <c r="J371" t="str" cm="1">
        <f t="array" ref="J371">_xlfn.XLOOKUP(INDEX(Log[Exercise],ROWS($J$4:J371)),Exercises[Exercise],Exercises[Category],"Ukendt")</f>
        <v>Compound</v>
      </c>
      <c r="K371">
        <v>1</v>
      </c>
    </row>
    <row r="372" spans="10:11">
      <c r="J372" t="str" cm="1">
        <f t="array" ref="J372">_xlfn.XLOOKUP(INDEX(Log[Exercise],ROWS($J$4:J372)),Exercises[Exercise],Exercises[Category],"Ukendt")</f>
        <v>Isolation</v>
      </c>
      <c r="K372">
        <v>1</v>
      </c>
    </row>
    <row r="373" spans="10:11">
      <c r="J373" t="str" cm="1">
        <f t="array" ref="J373">_xlfn.XLOOKUP(INDEX(Log[Exercise],ROWS($J$4:J373)),Exercises[Exercise],Exercises[Category],"Ukendt")</f>
        <v>Isolation</v>
      </c>
      <c r="K373">
        <v>1</v>
      </c>
    </row>
    <row r="374" spans="10:11">
      <c r="J374" t="str" cm="1">
        <f t="array" ref="J374">_xlfn.XLOOKUP(INDEX(Log[Exercise],ROWS($J$4:J374)),Exercises[Exercise],Exercises[Category],"Ukendt")</f>
        <v>Compound</v>
      </c>
      <c r="K374">
        <v>1</v>
      </c>
    </row>
    <row r="375" spans="10:11">
      <c r="J375" t="str" cm="1">
        <f t="array" ref="J375">_xlfn.XLOOKUP(INDEX(Log[Exercise],ROWS($J$4:J375)),Exercises[Exercise],Exercises[Category],"Ukendt")</f>
        <v>Compound</v>
      </c>
      <c r="K375">
        <v>1</v>
      </c>
    </row>
    <row r="376" spans="10:11">
      <c r="J376" t="str" cm="1">
        <f t="array" ref="J376">_xlfn.XLOOKUP(INDEX(Log[Exercise],ROWS($J$4:J376)),Exercises[Exercise],Exercises[Category],"Ukendt")</f>
        <v>Compound</v>
      </c>
      <c r="K376">
        <v>1</v>
      </c>
    </row>
    <row r="377" spans="10:11">
      <c r="J377" t="str" cm="1">
        <f t="array" ref="J377">_xlfn.XLOOKUP(INDEX(Log[Exercise],ROWS($J$4:J377)),Exercises[Exercise],Exercises[Category],"Ukendt")</f>
        <v>Compound</v>
      </c>
      <c r="K377">
        <v>1</v>
      </c>
    </row>
    <row r="378" spans="10:11">
      <c r="J378" t="str" cm="1">
        <f t="array" ref="J378">_xlfn.XLOOKUP(INDEX(Log[Exercise],ROWS($J$4:J378)),Exercises[Exercise],Exercises[Category],"Ukendt")</f>
        <v>Compound</v>
      </c>
      <c r="K378">
        <v>1</v>
      </c>
    </row>
    <row r="379" spans="10:11">
      <c r="J379" t="str" cm="1">
        <f t="array" ref="J379">_xlfn.XLOOKUP(INDEX(Log[Exercise],ROWS($J$4:J379)),Exercises[Exercise],Exercises[Category],"Ukendt")</f>
        <v>Compound</v>
      </c>
      <c r="K379">
        <v>1</v>
      </c>
    </row>
    <row r="380" spans="10:11">
      <c r="J380" t="str" cm="1">
        <f t="array" ref="J380">_xlfn.XLOOKUP(INDEX(Log[Exercise],ROWS($J$4:J380)),Exercises[Exercise],Exercises[Category],"Ukendt")</f>
        <v>Isolation</v>
      </c>
      <c r="K380">
        <v>1</v>
      </c>
    </row>
    <row r="381" spans="10:11">
      <c r="J381" t="str" cm="1">
        <f t="array" ref="J381">_xlfn.XLOOKUP(INDEX(Log[Exercise],ROWS($J$4:J381)),Exercises[Exercise],Exercises[Category],"Ukendt")</f>
        <v>Compound</v>
      </c>
      <c r="K381">
        <v>1</v>
      </c>
    </row>
    <row r="382" spans="10:11">
      <c r="J382" t="str" cm="1">
        <f t="array" ref="J382">_xlfn.XLOOKUP(INDEX(Log[Exercise],ROWS($J$4:J382)),Exercises[Exercise],Exercises[Category],"Ukendt")</f>
        <v>Compound</v>
      </c>
      <c r="K382">
        <v>1</v>
      </c>
    </row>
    <row r="383" spans="10:11">
      <c r="J383" t="str" cm="1">
        <f t="array" ref="J383">_xlfn.XLOOKUP(INDEX(Log[Exercise],ROWS($J$4:J383)),Exercises[Exercise],Exercises[Category],"Ukendt")</f>
        <v>Isolation</v>
      </c>
      <c r="K383">
        <v>1</v>
      </c>
    </row>
    <row r="384" spans="10:11">
      <c r="J384" t="str" cm="1">
        <f t="array" ref="J384">_xlfn.XLOOKUP(INDEX(Log[Exercise],ROWS($J$4:J384)),Exercises[Exercise],Exercises[Category],"Ukendt")</f>
        <v>Core</v>
      </c>
      <c r="K384">
        <v>1</v>
      </c>
    </row>
    <row r="385" spans="10:11">
      <c r="J385" t="str" cm="1">
        <f t="array" ref="J385">_xlfn.XLOOKUP(INDEX(Log[Exercise],ROWS($J$4:J385)),Exercises[Exercise],Exercises[Category],"Ukendt")</f>
        <v>Isolation</v>
      </c>
      <c r="K385">
        <v>1</v>
      </c>
    </row>
    <row r="386" spans="10:11">
      <c r="J386" t="str" cm="1">
        <f t="array" ref="J386">_xlfn.XLOOKUP(INDEX(Log[Exercise],ROWS($J$4:J386)),Exercises[Exercise],Exercises[Category],"Ukendt")</f>
        <v>Isolation</v>
      </c>
      <c r="K386">
        <v>1</v>
      </c>
    </row>
    <row r="387" spans="10:11">
      <c r="J387" t="str" cm="1">
        <f t="array" ref="J387">_xlfn.XLOOKUP(INDEX(Log[Exercise],ROWS($J$4:J387)),Exercises[Exercise],Exercises[Category],"Ukendt")</f>
        <v>Isolation</v>
      </c>
      <c r="K387">
        <v>1</v>
      </c>
    </row>
    <row r="388" spans="10:11">
      <c r="J388" t="str" cm="1">
        <f t="array" ref="J388">_xlfn.XLOOKUP(INDEX(Log[Exercise],ROWS($J$4:J388)),Exercises[Exercise],Exercises[Category],"Ukendt")</f>
        <v>Compound</v>
      </c>
      <c r="K388">
        <v>1</v>
      </c>
    </row>
    <row r="389" spans="10:11">
      <c r="J389" t="str" cm="1">
        <f t="array" ref="J389">_xlfn.XLOOKUP(INDEX(Log[Exercise],ROWS($J$4:J389)),Exercises[Exercise],Exercises[Category],"Ukendt")</f>
        <v>Isolation</v>
      </c>
      <c r="K389">
        <v>1</v>
      </c>
    </row>
    <row r="390" spans="10:11">
      <c r="J390" t="str" cm="1">
        <f t="array" ref="J390">_xlfn.XLOOKUP(INDEX(Log[Exercise],ROWS($J$4:J390)),Exercises[Exercise],Exercises[Category],"Ukendt")</f>
        <v>Isolation</v>
      </c>
      <c r="K390">
        <v>1</v>
      </c>
    </row>
    <row r="391" spans="10:11">
      <c r="J391" t="str" cm="1">
        <f t="array" ref="J391">_xlfn.XLOOKUP(INDEX(Log[Exercise],ROWS($J$4:J391)),Exercises[Exercise],Exercises[Category],"Ukendt")</f>
        <v>Compound</v>
      </c>
      <c r="K391">
        <v>1</v>
      </c>
    </row>
    <row r="392" spans="10:11">
      <c r="J392" t="str" cm="1">
        <f t="array" ref="J392">_xlfn.XLOOKUP(INDEX(Log[Exercise],ROWS($J$4:J392)),Exercises[Exercise],Exercises[Category],"Ukendt")</f>
        <v>Compound</v>
      </c>
      <c r="K392">
        <v>1</v>
      </c>
    </row>
    <row r="393" spans="10:11">
      <c r="J393" t="str" cm="1">
        <f t="array" ref="J393">_xlfn.XLOOKUP(INDEX(Log[Exercise],ROWS($J$4:J393)),Exercises[Exercise],Exercises[Category],"Ukendt")</f>
        <v>Compound</v>
      </c>
      <c r="K393">
        <v>1</v>
      </c>
    </row>
    <row r="394" spans="10:11">
      <c r="J394" t="str" cm="1">
        <f t="array" ref="J394">_xlfn.XLOOKUP(INDEX(Log[Exercise],ROWS($J$4:J394)),Exercises[Exercise],Exercises[Category],"Ukendt")</f>
        <v>Isolation</v>
      </c>
      <c r="K394">
        <v>1</v>
      </c>
    </row>
    <row r="395" spans="10:11">
      <c r="J395" t="str" cm="1">
        <f t="array" ref="J395">_xlfn.XLOOKUP(INDEX(Log[Exercise],ROWS($J$4:J395)),Exercises[Exercise],Exercises[Category],"Ukendt")</f>
        <v>Compound</v>
      </c>
      <c r="K395">
        <v>1</v>
      </c>
    </row>
    <row r="396" spans="10:11">
      <c r="J396" t="str" cm="1">
        <f t="array" ref="J396">_xlfn.XLOOKUP(INDEX(Log[Exercise],ROWS($J$4:J396)),Exercises[Exercise],Exercises[Category],"Ukendt")</f>
        <v>Compound</v>
      </c>
      <c r="K396">
        <v>1</v>
      </c>
    </row>
    <row r="397" spans="10:11">
      <c r="J397" t="str" cm="1">
        <f t="array" ref="J397">_xlfn.XLOOKUP(INDEX(Log[Exercise],ROWS($J$4:J397)),Exercises[Exercise],Exercises[Category],"Ukendt")</f>
        <v>Core</v>
      </c>
      <c r="K397">
        <v>1</v>
      </c>
    </row>
    <row r="398" spans="10:11">
      <c r="J398" t="str" cm="1">
        <f t="array" ref="J398">_xlfn.XLOOKUP(INDEX(Log[Exercise],ROWS($J$4:J398)),Exercises[Exercise],Exercises[Category],"Ukendt")</f>
        <v>Isolation</v>
      </c>
      <c r="K398">
        <v>1</v>
      </c>
    </row>
    <row r="399" spans="10:11">
      <c r="J399" t="str" cm="1">
        <f t="array" ref="J399">_xlfn.XLOOKUP(INDEX(Log[Exercise],ROWS($J$4:J399)),Exercises[Exercise],Exercises[Category],"Ukendt")</f>
        <v>Compound</v>
      </c>
      <c r="K399">
        <v>1</v>
      </c>
    </row>
    <row r="400" spans="10:11">
      <c r="J400" t="str" cm="1">
        <f t="array" ref="J400">_xlfn.XLOOKUP(INDEX(Log[Exercise],ROWS($J$4:J400)),Exercises[Exercise],Exercises[Category],"Ukendt")</f>
        <v>Compound</v>
      </c>
      <c r="K400">
        <v>1</v>
      </c>
    </row>
    <row r="401" spans="10:11">
      <c r="J401" t="str" cm="1">
        <f t="array" ref="J401">_xlfn.XLOOKUP(INDEX(Log[Exercise],ROWS($J$4:J401)),Exercises[Exercise],Exercises[Category],"Ukendt")</f>
        <v>Compound</v>
      </c>
      <c r="K401">
        <v>1</v>
      </c>
    </row>
    <row r="402" spans="10:11">
      <c r="J402" t="str" cm="1">
        <f t="array" ref="J402">_xlfn.XLOOKUP(INDEX(Log[Exercise],ROWS($J$4:J402)),Exercises[Exercise],Exercises[Category],"Ukendt")</f>
        <v>Stabilization</v>
      </c>
      <c r="K402">
        <v>1</v>
      </c>
    </row>
    <row r="403" spans="10:11">
      <c r="J403" t="str" cm="1">
        <f t="array" ref="J403">_xlfn.XLOOKUP(INDEX(Log[Exercise],ROWS($J$4:J403)),Exercises[Exercise],Exercises[Category],"Ukendt")</f>
        <v>Compound</v>
      </c>
      <c r="K403">
        <v>1</v>
      </c>
    </row>
    <row r="404" spans="10:11">
      <c r="J404" t="str" cm="1">
        <f t="array" ref="J404">_xlfn.XLOOKUP(INDEX(Log[Exercise],ROWS($J$4:J404)),Exercises[Exercise],Exercises[Category],"Ukendt")</f>
        <v>Compound</v>
      </c>
      <c r="K404">
        <v>1</v>
      </c>
    </row>
    <row r="405" spans="10:11">
      <c r="J405" t="str" cm="1">
        <f t="array" ref="J405">_xlfn.XLOOKUP(INDEX(Log[Exercise],ROWS($J$4:J405)),Exercises[Exercise],Exercises[Category],"Ukendt")</f>
        <v>Compound</v>
      </c>
      <c r="K405">
        <v>1</v>
      </c>
    </row>
    <row r="406" spans="10:11">
      <c r="J406" t="str" cm="1">
        <f t="array" ref="J406">_xlfn.XLOOKUP(INDEX(Log[Exercise],ROWS($J$4:J406)),Exercises[Exercise],Exercises[Category],"Ukendt")</f>
        <v>Isolation</v>
      </c>
      <c r="K406">
        <v>1</v>
      </c>
    </row>
    <row r="407" spans="10:11">
      <c r="J407" t="str" cm="1">
        <f t="array" ref="J407">_xlfn.XLOOKUP(INDEX(Log[Exercise],ROWS($J$4:J407)),Exercises[Exercise],Exercises[Category],"Ukendt")</f>
        <v>Compound</v>
      </c>
      <c r="K407">
        <v>1</v>
      </c>
    </row>
  </sheetData>
  <mergeCells count="2">
    <mergeCell ref="A1:H1"/>
    <mergeCell ref="M1:U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12BBB-197B-432C-A7D1-0D5F24C14CDD}">
  <dimension ref="A1:H62"/>
  <sheetViews>
    <sheetView workbookViewId="0">
      <pane ySplit="3" topLeftCell="A42" activePane="bottomLeft" state="frozen"/>
      <selection pane="bottomLeft" activeCell="D10" sqref="D10"/>
    </sheetView>
  </sheetViews>
  <sheetFormatPr defaultRowHeight="15"/>
  <cols>
    <col min="1" max="1" width="16.140625" bestFit="1" customWidth="1"/>
    <col min="2" max="2" width="86.28515625" bestFit="1" customWidth="1"/>
    <col min="3" max="3" width="39.42578125" style="42" customWidth="1"/>
    <col min="4" max="4" width="54.5703125" style="42" bestFit="1" customWidth="1"/>
    <col min="5" max="5" width="7.42578125" bestFit="1" customWidth="1"/>
    <col min="6" max="6" width="10.7109375" bestFit="1" customWidth="1"/>
  </cols>
  <sheetData>
    <row r="1" spans="1:4" ht="18.75">
      <c r="A1" s="46" t="s">
        <v>1342</v>
      </c>
      <c r="B1" s="46"/>
      <c r="C1" s="46"/>
      <c r="D1" s="46"/>
    </row>
    <row r="2" spans="1:4">
      <c r="A2" s="47" t="s">
        <v>1343</v>
      </c>
      <c r="B2" s="47"/>
      <c r="C2" s="47"/>
      <c r="D2" s="47"/>
    </row>
    <row r="4" spans="1:4" ht="30.75">
      <c r="A4" t="s">
        <v>1344</v>
      </c>
      <c r="B4" t="s">
        <v>1345</v>
      </c>
      <c r="C4" s="42" t="s">
        <v>1346</v>
      </c>
      <c r="D4" s="42" t="s">
        <v>1347</v>
      </c>
    </row>
    <row r="5" spans="1:4" ht="76.5">
      <c r="A5" t="s">
        <v>1348</v>
      </c>
      <c r="B5" t="s">
        <v>1349</v>
      </c>
      <c r="C5" s="42" t="s">
        <v>1350</v>
      </c>
      <c r="D5" s="42" t="s">
        <v>1351</v>
      </c>
    </row>
    <row r="6" spans="1:4" ht="60.75">
      <c r="A6" t="s">
        <v>1352</v>
      </c>
      <c r="B6" t="s">
        <v>1353</v>
      </c>
      <c r="C6" s="42" t="s">
        <v>1354</v>
      </c>
      <c r="D6" s="42" t="s">
        <v>1355</v>
      </c>
    </row>
    <row r="7" spans="1:4" ht="60.75">
      <c r="A7" t="s">
        <v>1352</v>
      </c>
      <c r="B7" t="s">
        <v>1356</v>
      </c>
      <c r="C7" s="42" t="s">
        <v>1354</v>
      </c>
      <c r="D7" s="42" t="s">
        <v>1355</v>
      </c>
    </row>
    <row r="8" spans="1:4" ht="76.5">
      <c r="A8" t="s">
        <v>1352</v>
      </c>
      <c r="B8" t="s">
        <v>1357</v>
      </c>
      <c r="C8" s="42" t="s">
        <v>1358</v>
      </c>
      <c r="D8" s="42" t="s">
        <v>1359</v>
      </c>
    </row>
    <row r="9" spans="1:4" ht="30.75">
      <c r="A9" t="s">
        <v>1352</v>
      </c>
      <c r="B9" t="s">
        <v>1360</v>
      </c>
      <c r="D9" s="42" t="s">
        <v>1361</v>
      </c>
    </row>
    <row r="10" spans="1:4">
      <c r="A10" t="s">
        <v>1362</v>
      </c>
      <c r="B10" t="s">
        <v>156</v>
      </c>
      <c r="C10" s="42" t="s">
        <v>1335</v>
      </c>
      <c r="D10" s="42" t="s">
        <v>1363</v>
      </c>
    </row>
    <row r="11" spans="1:4" ht="60.75">
      <c r="A11" t="s">
        <v>1362</v>
      </c>
      <c r="B11" t="s">
        <v>31</v>
      </c>
      <c r="C11" s="42" t="s">
        <v>1364</v>
      </c>
      <c r="D11" s="42" t="s">
        <v>1365</v>
      </c>
    </row>
    <row r="12" spans="1:4" ht="60.75">
      <c r="A12" t="s">
        <v>1366</v>
      </c>
      <c r="B12" t="s">
        <v>1367</v>
      </c>
      <c r="C12" s="42" t="s">
        <v>1368</v>
      </c>
      <c r="D12" s="42" t="s">
        <v>1369</v>
      </c>
    </row>
    <row r="13" spans="1:4" ht="76.5">
      <c r="A13" t="s">
        <v>1366</v>
      </c>
      <c r="B13" t="s">
        <v>1370</v>
      </c>
      <c r="C13" s="42" t="s">
        <v>1371</v>
      </c>
      <c r="D13" s="42" t="s">
        <v>1372</v>
      </c>
    </row>
    <row r="14" spans="1:4" ht="45.75">
      <c r="A14" t="s">
        <v>1335</v>
      </c>
      <c r="B14" t="s">
        <v>1373</v>
      </c>
      <c r="C14" s="42" t="s">
        <v>1374</v>
      </c>
      <c r="D14" s="42" t="s">
        <v>1375</v>
      </c>
    </row>
    <row r="15" spans="1:4" ht="91.5">
      <c r="A15" t="s">
        <v>1376</v>
      </c>
      <c r="B15" t="s">
        <v>1377</v>
      </c>
      <c r="C15" s="42" t="s">
        <v>1378</v>
      </c>
      <c r="D15" s="42" t="s">
        <v>1379</v>
      </c>
    </row>
    <row r="16" spans="1:4" ht="91.5">
      <c r="A16" t="s">
        <v>1380</v>
      </c>
      <c r="B16" t="s">
        <v>1381</v>
      </c>
      <c r="C16" s="42" t="s">
        <v>1382</v>
      </c>
      <c r="D16" s="42" t="s">
        <v>1383</v>
      </c>
    </row>
    <row r="17" spans="1:4" ht="91.5">
      <c r="A17" t="s">
        <v>1380</v>
      </c>
      <c r="B17" t="s">
        <v>1384</v>
      </c>
      <c r="C17" s="42" t="s">
        <v>1385</v>
      </c>
      <c r="D17" s="42" t="s">
        <v>1386</v>
      </c>
    </row>
    <row r="18" spans="1:4" ht="76.5">
      <c r="A18" t="s">
        <v>1387</v>
      </c>
      <c r="B18" t="s">
        <v>1388</v>
      </c>
      <c r="C18" s="42" t="s">
        <v>1389</v>
      </c>
      <c r="D18" s="42" t="s">
        <v>1390</v>
      </c>
    </row>
    <row r="19" spans="1:4" ht="45.75">
      <c r="A19" t="s">
        <v>1387</v>
      </c>
      <c r="B19" t="s">
        <v>1310</v>
      </c>
      <c r="C19" s="42" t="s">
        <v>1391</v>
      </c>
      <c r="D19" s="42" t="s">
        <v>1392</v>
      </c>
    </row>
    <row r="20" spans="1:4" ht="60.75">
      <c r="A20" t="s">
        <v>1393</v>
      </c>
      <c r="B20" t="s">
        <v>1394</v>
      </c>
      <c r="C20" s="42" t="s">
        <v>1395</v>
      </c>
      <c r="D20" s="42" t="s">
        <v>1396</v>
      </c>
    </row>
    <row r="21" spans="1:4" ht="45.75">
      <c r="A21" t="s">
        <v>1397</v>
      </c>
      <c r="B21" t="s">
        <v>1398</v>
      </c>
      <c r="C21" s="42" t="s">
        <v>1399</v>
      </c>
      <c r="D21" s="42" t="s">
        <v>1400</v>
      </c>
    </row>
    <row r="22" spans="1:4" ht="60.75">
      <c r="A22" t="s">
        <v>1397</v>
      </c>
      <c r="B22" t="s">
        <v>1401</v>
      </c>
      <c r="C22" s="42" t="s">
        <v>1402</v>
      </c>
      <c r="D22" s="42" t="s">
        <v>1403</v>
      </c>
    </row>
    <row r="25" spans="1:4" ht="18.75">
      <c r="A25" s="48" t="s">
        <v>1404</v>
      </c>
      <c r="B25" s="48"/>
      <c r="C25" s="48"/>
      <c r="D25" s="48"/>
    </row>
    <row r="27" spans="1:4">
      <c r="A27" t="s">
        <v>1405</v>
      </c>
      <c r="B27" t="s">
        <v>1406</v>
      </c>
      <c r="C27" s="42" t="s">
        <v>1407</v>
      </c>
      <c r="D27" s="42" t="s">
        <v>1408</v>
      </c>
    </row>
    <row r="28" spans="1:4" ht="76.5">
      <c r="A28" t="s">
        <v>1409</v>
      </c>
      <c r="B28" t="s">
        <v>1410</v>
      </c>
      <c r="C28" s="42" t="s">
        <v>1411</v>
      </c>
      <c r="D28" s="42" t="s">
        <v>1412</v>
      </c>
    </row>
    <row r="29" spans="1:4" ht="60.75">
      <c r="A29" t="s">
        <v>1384</v>
      </c>
      <c r="B29" t="s">
        <v>1413</v>
      </c>
      <c r="C29" s="42" t="s">
        <v>1414</v>
      </c>
      <c r="D29" s="42" t="s">
        <v>1415</v>
      </c>
    </row>
    <row r="30" spans="1:4" ht="60.75">
      <c r="A30" t="s">
        <v>1310</v>
      </c>
      <c r="B30" t="s">
        <v>1416</v>
      </c>
      <c r="C30" s="42" t="s">
        <v>1417</v>
      </c>
      <c r="D30" s="42" t="s">
        <v>1418</v>
      </c>
    </row>
    <row r="31" spans="1:4" ht="45.75">
      <c r="A31" t="s">
        <v>1388</v>
      </c>
      <c r="B31" t="s">
        <v>1419</v>
      </c>
      <c r="C31" s="42" t="s">
        <v>1420</v>
      </c>
      <c r="D31" s="42" t="s">
        <v>1421</v>
      </c>
    </row>
    <row r="32" spans="1:4" ht="60.75">
      <c r="A32" t="s">
        <v>1422</v>
      </c>
      <c r="B32" t="s">
        <v>1423</v>
      </c>
      <c r="C32" s="42" t="s">
        <v>1424</v>
      </c>
      <c r="D32" s="42" t="s">
        <v>1425</v>
      </c>
    </row>
    <row r="33" spans="1:8" ht="45.75">
      <c r="A33" t="s">
        <v>1426</v>
      </c>
      <c r="B33" t="s">
        <v>1427</v>
      </c>
      <c r="C33" s="42" t="s">
        <v>1428</v>
      </c>
      <c r="D33" s="42" t="s">
        <v>1412</v>
      </c>
    </row>
    <row r="34" spans="1:8" ht="60.75">
      <c r="A34" t="s">
        <v>1429</v>
      </c>
      <c r="B34" t="s">
        <v>1430</v>
      </c>
      <c r="C34" s="42" t="s">
        <v>1431</v>
      </c>
      <c r="D34" s="42" t="s">
        <v>31</v>
      </c>
    </row>
    <row r="35" spans="1:8" ht="30.75">
      <c r="A35" t="s">
        <v>1432</v>
      </c>
      <c r="B35" t="s">
        <v>1433</v>
      </c>
      <c r="C35" s="42" t="s">
        <v>1434</v>
      </c>
      <c r="D35" s="42" t="s">
        <v>1435</v>
      </c>
    </row>
    <row r="38" spans="1:8">
      <c r="A38" s="42" t="s">
        <v>1436</v>
      </c>
      <c r="B38" s="42" t="s">
        <v>1437</v>
      </c>
      <c r="C38" s="42" t="s">
        <v>1438</v>
      </c>
      <c r="D38" s="42" t="s">
        <v>1439</v>
      </c>
      <c r="E38" s="42" t="s">
        <v>2</v>
      </c>
      <c r="F38" s="42" t="s">
        <v>1440</v>
      </c>
      <c r="G38" s="42" t="s">
        <v>1441</v>
      </c>
      <c r="H38" s="42" t="s">
        <v>1442</v>
      </c>
    </row>
    <row r="39" spans="1:8" ht="60.75">
      <c r="A39" s="42">
        <v>1</v>
      </c>
      <c r="B39" s="42" t="s">
        <v>1335</v>
      </c>
      <c r="C39" s="42">
        <v>1</v>
      </c>
      <c r="D39" s="42" t="s">
        <v>157</v>
      </c>
      <c r="E39" s="42" t="s">
        <v>21</v>
      </c>
      <c r="F39" s="42" t="s">
        <v>34</v>
      </c>
      <c r="G39" s="42" t="s">
        <v>1443</v>
      </c>
      <c r="H39" s="42" t="s">
        <v>1444</v>
      </c>
    </row>
    <row r="40" spans="1:8" ht="60.75">
      <c r="A40" s="42">
        <v>1</v>
      </c>
      <c r="B40" s="42" t="s">
        <v>1445</v>
      </c>
      <c r="C40" s="42">
        <v>2</v>
      </c>
      <c r="D40" s="42" t="s">
        <v>181</v>
      </c>
      <c r="E40" s="42" t="s">
        <v>46</v>
      </c>
      <c r="F40" s="42" t="s">
        <v>34</v>
      </c>
      <c r="G40" s="42" t="s">
        <v>1446</v>
      </c>
      <c r="H40" s="42" t="s">
        <v>1447</v>
      </c>
    </row>
    <row r="41" spans="1:8" ht="91.5">
      <c r="A41" s="42">
        <v>1</v>
      </c>
      <c r="B41" s="42" t="s">
        <v>1445</v>
      </c>
      <c r="C41" s="42">
        <v>3</v>
      </c>
      <c r="D41" s="42" t="s">
        <v>41</v>
      </c>
      <c r="E41" s="42" t="s">
        <v>30</v>
      </c>
      <c r="F41" s="42" t="s">
        <v>34</v>
      </c>
      <c r="G41" s="42" t="s">
        <v>1448</v>
      </c>
      <c r="H41" s="42" t="s">
        <v>1449</v>
      </c>
    </row>
    <row r="42" spans="1:8" ht="91.5">
      <c r="A42" s="42">
        <v>1</v>
      </c>
      <c r="B42" s="42" t="s">
        <v>1445</v>
      </c>
      <c r="C42" s="42">
        <v>4</v>
      </c>
      <c r="D42" s="42" t="s">
        <v>143</v>
      </c>
      <c r="E42" s="42" t="s">
        <v>56</v>
      </c>
      <c r="F42" s="42" t="s">
        <v>34</v>
      </c>
      <c r="G42" s="42" t="s">
        <v>1450</v>
      </c>
      <c r="H42" s="42" t="s">
        <v>1451</v>
      </c>
    </row>
    <row r="43" spans="1:8" ht="91.5">
      <c r="A43" s="42">
        <v>1</v>
      </c>
      <c r="B43" s="42" t="s">
        <v>1445</v>
      </c>
      <c r="C43" s="42">
        <v>5</v>
      </c>
      <c r="D43" s="42" t="s">
        <v>160</v>
      </c>
      <c r="E43" s="42" t="s">
        <v>56</v>
      </c>
      <c r="F43" s="42" t="s">
        <v>34</v>
      </c>
      <c r="G43" s="42" t="s">
        <v>1452</v>
      </c>
      <c r="H43" s="42" t="s">
        <v>1453</v>
      </c>
    </row>
    <row r="44" spans="1:8" ht="60.75">
      <c r="A44" s="42">
        <v>1</v>
      </c>
      <c r="B44" s="42" t="s">
        <v>1454</v>
      </c>
      <c r="C44" s="42">
        <v>6</v>
      </c>
      <c r="D44" s="42" t="s">
        <v>153</v>
      </c>
      <c r="E44" s="42" t="s">
        <v>56</v>
      </c>
      <c r="F44" s="42" t="s">
        <v>57</v>
      </c>
      <c r="G44" s="42" t="s">
        <v>1455</v>
      </c>
      <c r="H44" s="42" t="s">
        <v>1456</v>
      </c>
    </row>
    <row r="45" spans="1:8" ht="45.75">
      <c r="A45" s="42">
        <v>1</v>
      </c>
      <c r="B45" s="42" t="s">
        <v>1454</v>
      </c>
      <c r="C45" s="42">
        <v>7</v>
      </c>
      <c r="D45" s="42" t="s">
        <v>59</v>
      </c>
      <c r="E45" s="42" t="s">
        <v>56</v>
      </c>
      <c r="F45" s="42" t="s">
        <v>57</v>
      </c>
      <c r="G45" s="42" t="s">
        <v>1457</v>
      </c>
      <c r="H45" s="42" t="s">
        <v>1458</v>
      </c>
    </row>
    <row r="46" spans="1:8" ht="91.5">
      <c r="A46" s="42">
        <v>1</v>
      </c>
      <c r="B46" s="42" t="s">
        <v>21</v>
      </c>
      <c r="C46" s="42">
        <v>8</v>
      </c>
      <c r="D46" s="42" t="s">
        <v>67</v>
      </c>
      <c r="E46" s="42" t="s">
        <v>21</v>
      </c>
      <c r="F46" s="42" t="s">
        <v>34</v>
      </c>
      <c r="G46" s="42" t="s">
        <v>1459</v>
      </c>
      <c r="H46" s="42" t="s">
        <v>1460</v>
      </c>
    </row>
    <row r="47" spans="1:8" ht="45.75">
      <c r="A47" s="42">
        <v>2</v>
      </c>
      <c r="B47" s="42" t="s">
        <v>1335</v>
      </c>
      <c r="C47" s="42">
        <v>1</v>
      </c>
      <c r="D47" s="42" t="s">
        <v>187</v>
      </c>
      <c r="E47" s="42" t="s">
        <v>21</v>
      </c>
      <c r="F47" s="42" t="s">
        <v>22</v>
      </c>
      <c r="G47" s="42" t="s">
        <v>1461</v>
      </c>
      <c r="H47" s="42" t="s">
        <v>1462</v>
      </c>
    </row>
    <row r="48" spans="1:8" ht="76.5">
      <c r="A48" s="42">
        <v>2</v>
      </c>
      <c r="B48" s="42" t="s">
        <v>1445</v>
      </c>
      <c r="C48" s="42">
        <v>2</v>
      </c>
      <c r="D48" s="42" t="s">
        <v>224</v>
      </c>
      <c r="E48" s="42" t="s">
        <v>56</v>
      </c>
      <c r="F48" s="42" t="s">
        <v>34</v>
      </c>
      <c r="G48" s="42" t="s">
        <v>1463</v>
      </c>
      <c r="H48" s="42" t="s">
        <v>1464</v>
      </c>
    </row>
    <row r="49" spans="1:8" ht="76.5">
      <c r="A49" s="42">
        <v>2</v>
      </c>
      <c r="B49" s="42" t="s">
        <v>1445</v>
      </c>
      <c r="C49" s="42">
        <v>3</v>
      </c>
      <c r="D49" s="42" t="s">
        <v>48</v>
      </c>
      <c r="E49" s="42" t="s">
        <v>46</v>
      </c>
      <c r="F49" s="42" t="s">
        <v>34</v>
      </c>
      <c r="G49" s="42" t="s">
        <v>1465</v>
      </c>
      <c r="H49" s="42" t="s">
        <v>1466</v>
      </c>
    </row>
    <row r="50" spans="1:8" ht="76.5">
      <c r="A50" s="42">
        <v>2</v>
      </c>
      <c r="B50" s="42" t="s">
        <v>1445</v>
      </c>
      <c r="C50" s="42">
        <v>4</v>
      </c>
      <c r="D50" s="42" t="s">
        <v>208</v>
      </c>
      <c r="E50" s="42" t="s">
        <v>30</v>
      </c>
      <c r="F50" s="42" t="s">
        <v>22</v>
      </c>
      <c r="G50" s="42" t="s">
        <v>1467</v>
      </c>
      <c r="H50" s="42" t="s">
        <v>1468</v>
      </c>
    </row>
    <row r="51" spans="1:8" ht="60.75">
      <c r="A51" s="42">
        <v>2</v>
      </c>
      <c r="B51" s="42" t="s">
        <v>1445</v>
      </c>
      <c r="C51" s="42">
        <v>5</v>
      </c>
      <c r="D51" s="42" t="s">
        <v>131</v>
      </c>
      <c r="E51" s="42" t="s">
        <v>56</v>
      </c>
      <c r="F51" s="42" t="s">
        <v>22</v>
      </c>
      <c r="G51" s="42" t="s">
        <v>1469</v>
      </c>
      <c r="H51" s="42" t="s">
        <v>1470</v>
      </c>
    </row>
    <row r="52" spans="1:8" ht="60.75">
      <c r="A52" s="42">
        <v>2</v>
      </c>
      <c r="B52" s="42" t="s">
        <v>1445</v>
      </c>
      <c r="C52" s="42">
        <v>6</v>
      </c>
      <c r="D52" s="42" t="s">
        <v>83</v>
      </c>
      <c r="E52" s="42" t="s">
        <v>56</v>
      </c>
      <c r="F52" s="42" t="s">
        <v>34</v>
      </c>
      <c r="G52" s="42" t="s">
        <v>1471</v>
      </c>
      <c r="H52" s="42" t="s">
        <v>1472</v>
      </c>
    </row>
    <row r="53" spans="1:8" ht="60.75">
      <c r="A53" s="42">
        <v>2</v>
      </c>
      <c r="B53" s="42" t="s">
        <v>1381</v>
      </c>
      <c r="C53" s="42">
        <v>7</v>
      </c>
      <c r="D53" s="42" t="s">
        <v>115</v>
      </c>
      <c r="E53" s="42" t="s">
        <v>46</v>
      </c>
      <c r="F53" s="42" t="s">
        <v>22</v>
      </c>
      <c r="G53" s="42" t="s">
        <v>1473</v>
      </c>
      <c r="H53" s="42" t="s">
        <v>1474</v>
      </c>
    </row>
    <row r="54" spans="1:8" ht="76.5">
      <c r="A54" s="42">
        <v>2</v>
      </c>
      <c r="B54" s="42" t="s">
        <v>21</v>
      </c>
      <c r="C54" s="42">
        <v>8</v>
      </c>
      <c r="D54" s="42" t="s">
        <v>88</v>
      </c>
      <c r="E54" s="42" t="s">
        <v>21</v>
      </c>
      <c r="F54" s="42" t="s">
        <v>57</v>
      </c>
      <c r="G54" s="42" t="s">
        <v>1475</v>
      </c>
      <c r="H54" s="42" t="s">
        <v>1476</v>
      </c>
    </row>
    <row r="55" spans="1:8" ht="30.75">
      <c r="A55" s="42">
        <v>3</v>
      </c>
      <c r="B55" s="42" t="s">
        <v>1335</v>
      </c>
      <c r="C55" s="42">
        <v>1</v>
      </c>
      <c r="D55" s="42" t="s">
        <v>157</v>
      </c>
      <c r="E55" s="42" t="s">
        <v>21</v>
      </c>
      <c r="F55" s="42" t="s">
        <v>34</v>
      </c>
      <c r="G55" s="42" t="s">
        <v>1477</v>
      </c>
      <c r="H55" s="42" t="s">
        <v>1478</v>
      </c>
    </row>
    <row r="56" spans="1:8" ht="76.5">
      <c r="A56" s="42">
        <v>3</v>
      </c>
      <c r="B56" s="42" t="s">
        <v>1479</v>
      </c>
      <c r="C56" s="42">
        <v>2</v>
      </c>
      <c r="D56" s="42" t="s">
        <v>221</v>
      </c>
      <c r="E56" s="42" t="s">
        <v>30</v>
      </c>
      <c r="F56" s="42" t="s">
        <v>57</v>
      </c>
      <c r="G56" s="42" t="s">
        <v>1480</v>
      </c>
      <c r="H56" s="42" t="s">
        <v>1481</v>
      </c>
    </row>
    <row r="57" spans="1:8" ht="76.5">
      <c r="A57" s="42">
        <v>3</v>
      </c>
      <c r="B57" s="42" t="s">
        <v>1479</v>
      </c>
      <c r="C57" s="42">
        <v>3</v>
      </c>
      <c r="D57" s="42" t="s">
        <v>222</v>
      </c>
      <c r="E57" s="42" t="s">
        <v>30</v>
      </c>
      <c r="F57" s="42" t="s">
        <v>57</v>
      </c>
      <c r="G57" s="42" t="s">
        <v>1482</v>
      </c>
      <c r="H57" s="42" t="s">
        <v>1483</v>
      </c>
    </row>
    <row r="58" spans="1:8" ht="76.5">
      <c r="A58" s="42">
        <v>3</v>
      </c>
      <c r="B58" s="42" t="s">
        <v>1479</v>
      </c>
      <c r="C58" s="42">
        <v>4</v>
      </c>
      <c r="D58" s="42" t="s">
        <v>223</v>
      </c>
      <c r="E58" s="42" t="s">
        <v>21</v>
      </c>
      <c r="F58" s="42" t="s">
        <v>57</v>
      </c>
      <c r="G58" s="42" t="s">
        <v>1484</v>
      </c>
      <c r="H58" s="42" t="s">
        <v>1485</v>
      </c>
    </row>
    <row r="59" spans="1:8" ht="76.5">
      <c r="A59" s="42">
        <v>3</v>
      </c>
      <c r="B59" s="42" t="s">
        <v>1486</v>
      </c>
      <c r="C59" s="42">
        <v>5</v>
      </c>
      <c r="D59" s="42" t="s">
        <v>177</v>
      </c>
      <c r="E59" s="42" t="s">
        <v>46</v>
      </c>
      <c r="F59" s="42" t="s">
        <v>34</v>
      </c>
      <c r="G59" s="42" t="s">
        <v>1487</v>
      </c>
      <c r="H59" s="42" t="s">
        <v>1488</v>
      </c>
    </row>
    <row r="60" spans="1:8" ht="60.75">
      <c r="A60" s="42">
        <v>3</v>
      </c>
      <c r="B60" s="42" t="s">
        <v>1486</v>
      </c>
      <c r="C60" s="42">
        <v>6</v>
      </c>
      <c r="D60" s="42" t="s">
        <v>167</v>
      </c>
      <c r="E60" s="42" t="s">
        <v>46</v>
      </c>
      <c r="F60" s="42" t="s">
        <v>22</v>
      </c>
      <c r="G60" s="42" t="s">
        <v>1489</v>
      </c>
      <c r="H60" s="42" t="s">
        <v>1490</v>
      </c>
    </row>
    <row r="61" spans="1:8" ht="76.5">
      <c r="A61" s="42">
        <v>3</v>
      </c>
      <c r="B61" s="42" t="s">
        <v>21</v>
      </c>
      <c r="C61" s="42">
        <v>7</v>
      </c>
      <c r="D61" s="42" t="s">
        <v>24</v>
      </c>
      <c r="E61" s="42" t="s">
        <v>21</v>
      </c>
      <c r="F61" s="42" t="s">
        <v>22</v>
      </c>
      <c r="G61" s="42" t="s">
        <v>1491</v>
      </c>
      <c r="H61" s="42" t="s">
        <v>1492</v>
      </c>
    </row>
    <row r="62" spans="1:8" ht="60.75">
      <c r="A62" s="42">
        <v>3</v>
      </c>
      <c r="B62" s="42" t="s">
        <v>1388</v>
      </c>
      <c r="C62" s="42">
        <v>8</v>
      </c>
      <c r="D62" s="42" t="s">
        <v>125</v>
      </c>
      <c r="E62" s="42" t="s">
        <v>21</v>
      </c>
      <c r="F62" s="42" t="s">
        <v>21</v>
      </c>
      <c r="G62" s="42" t="s">
        <v>1493</v>
      </c>
      <c r="H62" s="42" t="s">
        <v>1494</v>
      </c>
    </row>
  </sheetData>
  <mergeCells count="3">
    <mergeCell ref="A1:D1"/>
    <mergeCell ref="A2:D2"/>
    <mergeCell ref="A25:D25"/>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2025-10-16T15:07:49Z</dcterms:created>
  <dcterms:modified xsi:type="dcterms:W3CDTF">2026-05-04T18:24:37Z</dcterms:modified>
  <cp:category/>
  <cp:contentStatus/>
</cp:coreProperties>
</file>